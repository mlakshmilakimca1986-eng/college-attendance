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rojects\CO Attendance\"/>
    </mc:Choice>
  </mc:AlternateContent>
  <xr:revisionPtr revIDLastSave="0" documentId="13_ncr:1_{9AADDF75-D713-43C5-9515-2C4AE72530E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REAM WISE" sheetId="32" r:id="rId1"/>
    <sheet name="Format-Blr" sheetId="31" r:id="rId2"/>
  </sheets>
  <definedNames>
    <definedName name="_xlnm._FilterDatabase" localSheetId="1" hidden="1">'Format-Blr'!$A$6:$CH$6</definedName>
    <definedName name="_xlnm._FilterDatabase" localSheetId="0" hidden="1">'STREAM WISE'!$A$5:$BP$5</definedName>
    <definedName name="_xlnm._FilterDatabase" hidden="1">#REF!</definedName>
    <definedName name="_xlnm.Print_Area" localSheetId="0">'STREAM WISE'!$A$1:$AA$44</definedName>
    <definedName name="Z_1507D10C_9605_4D9E_AFA6_BA4D93CA4E4E_.wvu.Cols" localSheetId="1" hidden="1">'Format-Blr'!#REF!</definedName>
    <definedName name="Z_1507D10C_9605_4D9E_AFA6_BA4D93CA4E4E_.wvu.FilterData" localSheetId="1" hidden="1">'Format-Blr'!$A$5:$BA$45</definedName>
    <definedName name="Z_5800BA0D_EDE8_4E58_AACE_551BE361862A_.wvu.Cols" localSheetId="1" hidden="1">'Format-Blr'!#REF!,'Format-Blr'!#REF!</definedName>
    <definedName name="Z_5800BA0D_EDE8_4E58_AACE_551BE361862A_.wvu.FilterData" localSheetId="1" hidden="1">'Format-Blr'!$A$5:$BA$45</definedName>
    <definedName name="Z_7D2CF681_C661_4F77_8EAF_2776F2E370DB_.wvu.Cols" localSheetId="1" hidden="1">'Format-Blr'!#REF!</definedName>
    <definedName name="Z_7D2CF681_C661_4F77_8EAF_2776F2E370DB_.wvu.FilterData" localSheetId="1" hidden="1">'Format-Blr'!$A$5:$BA$45</definedName>
    <definedName name="Z_A20EABE7_4AAF_409F_A4FE_BDBC15154BC4_.wvu.Cols" localSheetId="1" hidden="1">'Format-Blr'!#REF!</definedName>
    <definedName name="Z_A20EABE7_4AAF_409F_A4FE_BDBC15154BC4_.wvu.FilterData" localSheetId="1" hidden="1">'Format-Blr'!$A$5:$BA$45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52" i="31" l="1"/>
  <c r="BX52" i="31"/>
  <c r="BY52" i="31"/>
  <c r="BZ52" i="31"/>
  <c r="CA52" i="31"/>
  <c r="CB52" i="31"/>
  <c r="CC52" i="31"/>
  <c r="CD52" i="31"/>
  <c r="CE52" i="31" s="1"/>
  <c r="BW53" i="31"/>
  <c r="BX53" i="31"/>
  <c r="CD53" i="31" s="1"/>
  <c r="CE53" i="31" s="1"/>
  <c r="BY53" i="31"/>
  <c r="BZ53" i="31"/>
  <c r="CA53" i="31"/>
  <c r="CB53" i="31"/>
  <c r="CC53" i="31"/>
  <c r="BW54" i="31"/>
  <c r="CC54" i="31" s="1"/>
  <c r="BX54" i="31"/>
  <c r="CD54" i="31" s="1"/>
  <c r="BY54" i="31"/>
  <c r="BZ54" i="31"/>
  <c r="CA54" i="31"/>
  <c r="CB54" i="31"/>
  <c r="BW55" i="31"/>
  <c r="CC55" i="31" s="1"/>
  <c r="BX55" i="31"/>
  <c r="CD55" i="31" s="1"/>
  <c r="CE55" i="31" s="1"/>
  <c r="BY55" i="31"/>
  <c r="BZ55" i="31"/>
  <c r="CA55" i="31"/>
  <c r="CB55" i="31" s="1"/>
  <c r="BW56" i="31"/>
  <c r="CC56" i="31" s="1"/>
  <c r="BX56" i="31"/>
  <c r="CD56" i="31" s="1"/>
  <c r="CE56" i="31" s="1"/>
  <c r="BY56" i="31"/>
  <c r="BZ56" i="31"/>
  <c r="CA56" i="31"/>
  <c r="CB56" i="31" s="1"/>
  <c r="BW57" i="31"/>
  <c r="CC57" i="31" s="1"/>
  <c r="BX57" i="31"/>
  <c r="CD57" i="31" s="1"/>
  <c r="BY57" i="31"/>
  <c r="BZ57" i="31"/>
  <c r="CA57" i="31"/>
  <c r="CB57" i="31"/>
  <c r="BW58" i="31"/>
  <c r="CC58" i="31" s="1"/>
  <c r="BX58" i="31"/>
  <c r="BY58" i="31" s="1"/>
  <c r="BZ58" i="31"/>
  <c r="CA58" i="31"/>
  <c r="CB58" i="31"/>
  <c r="BW59" i="31"/>
  <c r="CC59" i="31" s="1"/>
  <c r="CE59" i="31" s="1"/>
  <c r="BX59" i="31"/>
  <c r="BY59" i="31" s="1"/>
  <c r="BZ59" i="31"/>
  <c r="CA59" i="31"/>
  <c r="CB59" i="31"/>
  <c r="CD59" i="31"/>
  <c r="BW60" i="31"/>
  <c r="BX60" i="31"/>
  <c r="BY60" i="31"/>
  <c r="BZ60" i="31"/>
  <c r="CA60" i="31"/>
  <c r="CB60" i="31"/>
  <c r="CC60" i="31"/>
  <c r="CD60" i="31"/>
  <c r="CE60" i="31" s="1"/>
  <c r="BW61" i="31"/>
  <c r="BX61" i="31"/>
  <c r="CD61" i="31" s="1"/>
  <c r="CE61" i="31" s="1"/>
  <c r="BY61" i="31"/>
  <c r="BZ61" i="31"/>
  <c r="CA61" i="31"/>
  <c r="CB61" i="31"/>
  <c r="CC61" i="31"/>
  <c r="BW62" i="31"/>
  <c r="CC62" i="31" s="1"/>
  <c r="BX62" i="31"/>
  <c r="CD62" i="31" s="1"/>
  <c r="BY62" i="31"/>
  <c r="BZ62" i="31"/>
  <c r="CA62" i="31"/>
  <c r="CB62" i="31"/>
  <c r="BW63" i="31"/>
  <c r="CC63" i="31" s="1"/>
  <c r="BX63" i="31"/>
  <c r="CD63" i="31" s="1"/>
  <c r="CE63" i="31" s="1"/>
  <c r="BY63" i="31"/>
  <c r="BZ63" i="31"/>
  <c r="CA63" i="31"/>
  <c r="CB63" i="31" s="1"/>
  <c r="BW64" i="31"/>
  <c r="CC64" i="31" s="1"/>
  <c r="BX64" i="31"/>
  <c r="CD64" i="31" s="1"/>
  <c r="CE64" i="31" s="1"/>
  <c r="BY64" i="31"/>
  <c r="BZ64" i="31"/>
  <c r="CB64" i="31" s="1"/>
  <c r="CA64" i="31"/>
  <c r="BW65" i="31"/>
  <c r="CC65" i="31" s="1"/>
  <c r="BX65" i="31"/>
  <c r="CD65" i="31" s="1"/>
  <c r="BY65" i="31"/>
  <c r="BZ65" i="31"/>
  <c r="CA65" i="31"/>
  <c r="CB65" i="31"/>
  <c r="BW66" i="31"/>
  <c r="CC66" i="31" s="1"/>
  <c r="BX66" i="31"/>
  <c r="BY66" i="31" s="1"/>
  <c r="BZ66" i="31"/>
  <c r="CA66" i="31"/>
  <c r="CB66" i="31"/>
  <c r="BW67" i="31"/>
  <c r="CC67" i="31" s="1"/>
  <c r="CE67" i="31" s="1"/>
  <c r="BX67" i="31"/>
  <c r="BZ67" i="31"/>
  <c r="CA67" i="31"/>
  <c r="CB67" i="31"/>
  <c r="CD67" i="31"/>
  <c r="BW68" i="31"/>
  <c r="BX68" i="31"/>
  <c r="BY68" i="31"/>
  <c r="BZ68" i="31"/>
  <c r="CA68" i="31"/>
  <c r="CB68" i="31"/>
  <c r="CC68" i="31"/>
  <c r="CD68" i="31"/>
  <c r="CE68" i="31" s="1"/>
  <c r="BW69" i="31"/>
  <c r="BX69" i="31"/>
  <c r="CD69" i="31" s="1"/>
  <c r="CE69" i="31" s="1"/>
  <c r="BY69" i="31"/>
  <c r="BZ69" i="31"/>
  <c r="CA69" i="31"/>
  <c r="CB69" i="31"/>
  <c r="CC69" i="31"/>
  <c r="BW70" i="31"/>
  <c r="CC70" i="31" s="1"/>
  <c r="BX70" i="31"/>
  <c r="CD70" i="31" s="1"/>
  <c r="BY70" i="31"/>
  <c r="BZ70" i="31"/>
  <c r="CA70" i="31"/>
  <c r="CB70" i="31"/>
  <c r="BW71" i="31"/>
  <c r="CC71" i="31" s="1"/>
  <c r="BX71" i="31"/>
  <c r="CD71" i="31" s="1"/>
  <c r="CE71" i="31" s="1"/>
  <c r="BY71" i="31"/>
  <c r="BZ71" i="31"/>
  <c r="CA71" i="31"/>
  <c r="CB71" i="31" s="1"/>
  <c r="BW72" i="31"/>
  <c r="CC72" i="31" s="1"/>
  <c r="BX72" i="31"/>
  <c r="CD72" i="31" s="1"/>
  <c r="CE72" i="31" s="1"/>
  <c r="BY72" i="31"/>
  <c r="BZ72" i="31"/>
  <c r="CB72" i="31" s="1"/>
  <c r="CA72" i="31"/>
  <c r="BW73" i="31"/>
  <c r="CC73" i="31" s="1"/>
  <c r="BX73" i="31"/>
  <c r="CD73" i="31" s="1"/>
  <c r="BY73" i="31"/>
  <c r="BZ73" i="31"/>
  <c r="CA73" i="31"/>
  <c r="CB73" i="31"/>
  <c r="BW74" i="31"/>
  <c r="CC74" i="31" s="1"/>
  <c r="BX74" i="31"/>
  <c r="BY74" i="31" s="1"/>
  <c r="BZ74" i="31"/>
  <c r="CA74" i="31"/>
  <c r="CB74" i="31"/>
  <c r="BW75" i="31"/>
  <c r="BY75" i="31" s="1"/>
  <c r="BX75" i="31"/>
  <c r="BZ75" i="31"/>
  <c r="CA75" i="31"/>
  <c r="CB75" i="31"/>
  <c r="CD75" i="31"/>
  <c r="BW76" i="31"/>
  <c r="BX76" i="31"/>
  <c r="BY76" i="31"/>
  <c r="BZ76" i="31"/>
  <c r="CA76" i="31"/>
  <c r="CB76" i="31"/>
  <c r="CC76" i="31"/>
  <c r="CD76" i="31"/>
  <c r="CE76" i="31" s="1"/>
  <c r="BW77" i="31"/>
  <c r="BX77" i="31"/>
  <c r="CD77" i="31" s="1"/>
  <c r="CE77" i="31" s="1"/>
  <c r="BY77" i="31"/>
  <c r="BZ77" i="31"/>
  <c r="CA77" i="31"/>
  <c r="CB77" i="31"/>
  <c r="CC77" i="31"/>
  <c r="BW78" i="31"/>
  <c r="CC78" i="31" s="1"/>
  <c r="BX78" i="31"/>
  <c r="CD78" i="31" s="1"/>
  <c r="BY78" i="31"/>
  <c r="BZ78" i="31"/>
  <c r="CA78" i="31"/>
  <c r="CB78" i="31"/>
  <c r="BW79" i="31"/>
  <c r="CC79" i="31" s="1"/>
  <c r="BX79" i="31"/>
  <c r="CD79" i="31" s="1"/>
  <c r="CE79" i="31" s="1"/>
  <c r="BY79" i="31"/>
  <c r="BZ79" i="31"/>
  <c r="CA79" i="31"/>
  <c r="CB79" i="31" s="1"/>
  <c r="BW80" i="31"/>
  <c r="CC80" i="31" s="1"/>
  <c r="BX80" i="31"/>
  <c r="CD80" i="31" s="1"/>
  <c r="CE80" i="31" s="1"/>
  <c r="BY80" i="31"/>
  <c r="BZ80" i="31"/>
  <c r="CA80" i="31"/>
  <c r="CB80" i="31" s="1"/>
  <c r="BW81" i="31"/>
  <c r="CC81" i="31" s="1"/>
  <c r="BX81" i="31"/>
  <c r="CD81" i="31" s="1"/>
  <c r="BY81" i="31"/>
  <c r="BZ81" i="31"/>
  <c r="CA81" i="31"/>
  <c r="CB81" i="31"/>
  <c r="BW82" i="31"/>
  <c r="CC82" i="31" s="1"/>
  <c r="BX82" i="31"/>
  <c r="BY82" i="31" s="1"/>
  <c r="BZ82" i="31"/>
  <c r="CA82" i="31"/>
  <c r="CB82" i="31"/>
  <c r="BW83" i="31"/>
  <c r="CC83" i="31" s="1"/>
  <c r="CE83" i="31" s="1"/>
  <c r="BX83" i="31"/>
  <c r="BY83" i="31" s="1"/>
  <c r="BZ83" i="31"/>
  <c r="CA83" i="31"/>
  <c r="CB83" i="31"/>
  <c r="CD83" i="31"/>
  <c r="BW84" i="31"/>
  <c r="BX84" i="31"/>
  <c r="BY84" i="31"/>
  <c r="BZ84" i="31"/>
  <c r="CA84" i="31"/>
  <c r="CB84" i="31"/>
  <c r="CC84" i="31"/>
  <c r="CD84" i="31"/>
  <c r="CE84" i="31" s="1"/>
  <c r="BW85" i="31"/>
  <c r="BX85" i="31"/>
  <c r="CD85" i="31" s="1"/>
  <c r="CE85" i="31" s="1"/>
  <c r="BY85" i="31"/>
  <c r="BZ85" i="31"/>
  <c r="CA85" i="31"/>
  <c r="CB85" i="31"/>
  <c r="CC85" i="31"/>
  <c r="BW86" i="31"/>
  <c r="CC86" i="31" s="1"/>
  <c r="BX86" i="31"/>
  <c r="CD86" i="31" s="1"/>
  <c r="BY86" i="31"/>
  <c r="BZ86" i="31"/>
  <c r="CA86" i="31"/>
  <c r="CB86" i="31"/>
  <c r="BW87" i="31"/>
  <c r="CC87" i="31" s="1"/>
  <c r="BX87" i="31"/>
  <c r="CD87" i="31" s="1"/>
  <c r="CE87" i="31" s="1"/>
  <c r="BY87" i="31"/>
  <c r="BZ87" i="31"/>
  <c r="CA87" i="31"/>
  <c r="CB87" i="31" s="1"/>
  <c r="BW88" i="31"/>
  <c r="CC88" i="31" s="1"/>
  <c r="BX88" i="31"/>
  <c r="CD88" i="31" s="1"/>
  <c r="CE88" i="31" s="1"/>
  <c r="BY88" i="31"/>
  <c r="BZ88" i="31"/>
  <c r="CA88" i="31"/>
  <c r="CB88" i="31" s="1"/>
  <c r="BU88" i="31"/>
  <c r="BT88" i="31"/>
  <c r="BU87" i="31"/>
  <c r="BV87" i="31" s="1"/>
  <c r="BT87" i="31"/>
  <c r="BU86" i="31"/>
  <c r="BV86" i="31" s="1"/>
  <c r="BT86" i="31"/>
  <c r="BU85" i="31"/>
  <c r="BT85" i="31"/>
  <c r="BU84" i="31"/>
  <c r="BV84" i="31" s="1"/>
  <c r="BT84" i="31"/>
  <c r="BV83" i="31"/>
  <c r="BU83" i="31"/>
  <c r="BT83" i="31"/>
  <c r="BU82" i="31"/>
  <c r="BV82" i="31" s="1"/>
  <c r="BT82" i="31"/>
  <c r="BU81" i="31"/>
  <c r="BV81" i="31" s="1"/>
  <c r="BT81" i="31"/>
  <c r="BU80" i="31"/>
  <c r="BT80" i="31"/>
  <c r="BU79" i="31"/>
  <c r="BV79" i="31" s="1"/>
  <c r="BT79" i="31"/>
  <c r="BU78" i="31"/>
  <c r="BV78" i="31" s="1"/>
  <c r="BT78" i="31"/>
  <c r="BU77" i="31"/>
  <c r="BV77" i="31" s="1"/>
  <c r="BT77" i="31"/>
  <c r="BU76" i="31"/>
  <c r="BV76" i="31" s="1"/>
  <c r="BT76" i="31"/>
  <c r="BV75" i="31"/>
  <c r="BU75" i="31"/>
  <c r="BT75" i="31"/>
  <c r="BU74" i="31"/>
  <c r="BV74" i="31" s="1"/>
  <c r="BT74" i="31"/>
  <c r="BU73" i="31"/>
  <c r="BV73" i="31" s="1"/>
  <c r="BT73" i="31"/>
  <c r="BU72" i="31"/>
  <c r="BT72" i="31"/>
  <c r="BU71" i="31"/>
  <c r="BV71" i="31" s="1"/>
  <c r="BT71" i="31"/>
  <c r="BU70" i="31"/>
  <c r="BV70" i="31" s="1"/>
  <c r="BT70" i="31"/>
  <c r="BU69" i="31"/>
  <c r="BT69" i="31"/>
  <c r="BU68" i="31"/>
  <c r="BV68" i="31" s="1"/>
  <c r="BT68" i="31"/>
  <c r="BV67" i="31"/>
  <c r="BU67" i="31"/>
  <c r="BT67" i="31"/>
  <c r="BU66" i="31"/>
  <c r="BT66" i="31"/>
  <c r="BV65" i="31"/>
  <c r="BU65" i="31"/>
  <c r="BT65" i="31"/>
  <c r="BU64" i="31"/>
  <c r="BT64" i="31"/>
  <c r="BU63" i="31"/>
  <c r="BT63" i="31"/>
  <c r="BV62" i="31"/>
  <c r="BU62" i="31"/>
  <c r="BT62" i="31"/>
  <c r="BU61" i="31"/>
  <c r="BT61" i="31"/>
  <c r="BU60" i="31"/>
  <c r="BT60" i="31"/>
  <c r="BV59" i="31"/>
  <c r="BU59" i="31"/>
  <c r="BT59" i="31"/>
  <c r="BU58" i="31"/>
  <c r="BV58" i="31" s="1"/>
  <c r="BT58" i="31"/>
  <c r="BU57" i="31"/>
  <c r="BV57" i="31" s="1"/>
  <c r="BT57" i="31"/>
  <c r="BU56" i="31"/>
  <c r="BT56" i="31"/>
  <c r="BU55" i="31"/>
  <c r="BV55" i="31" s="1"/>
  <c r="BT55" i="31"/>
  <c r="BU54" i="31"/>
  <c r="BV54" i="31" s="1"/>
  <c r="BT54" i="31"/>
  <c r="BU53" i="31"/>
  <c r="BT53" i="31"/>
  <c r="BU52" i="31"/>
  <c r="BV52" i="31" s="1"/>
  <c r="BT52" i="31"/>
  <c r="BV51" i="31"/>
  <c r="BU51" i="31"/>
  <c r="BT51" i="31"/>
  <c r="BN88" i="31"/>
  <c r="BO88" i="31" s="1"/>
  <c r="BM88" i="31"/>
  <c r="BN87" i="31"/>
  <c r="BM87" i="31"/>
  <c r="BN86" i="31"/>
  <c r="BM86" i="31"/>
  <c r="BN85" i="31"/>
  <c r="BO85" i="31" s="1"/>
  <c r="BM85" i="31"/>
  <c r="BN84" i="31"/>
  <c r="BO84" i="31" s="1"/>
  <c r="BM84" i="31"/>
  <c r="BN83" i="31"/>
  <c r="BM83" i="31"/>
  <c r="BN82" i="31"/>
  <c r="BO82" i="31" s="1"/>
  <c r="BM82" i="31"/>
  <c r="BO81" i="31"/>
  <c r="BN81" i="31"/>
  <c r="BM81" i="31"/>
  <c r="BO80" i="31"/>
  <c r="BN80" i="31"/>
  <c r="BM80" i="31"/>
  <c r="BN79" i="31"/>
  <c r="BO79" i="31" s="1"/>
  <c r="BM79" i="31"/>
  <c r="BN78" i="31"/>
  <c r="BM78" i="31"/>
  <c r="BN77" i="31"/>
  <c r="BO77" i="31" s="1"/>
  <c r="BM77" i="31"/>
  <c r="BN76" i="31"/>
  <c r="BO76" i="31" s="1"/>
  <c r="BM76" i="31"/>
  <c r="BN75" i="31"/>
  <c r="BM75" i="31"/>
  <c r="BN74" i="31"/>
  <c r="BO74" i="31" s="1"/>
  <c r="BM74" i="31"/>
  <c r="BO73" i="31"/>
  <c r="BN73" i="31"/>
  <c r="BM73" i="31"/>
  <c r="BN72" i="31"/>
  <c r="BM72" i="31"/>
  <c r="BO71" i="31"/>
  <c r="BN71" i="31"/>
  <c r="BM71" i="31"/>
  <c r="BN70" i="31"/>
  <c r="BM70" i="31"/>
  <c r="BN69" i="31"/>
  <c r="BM69" i="31"/>
  <c r="BO68" i="31"/>
  <c r="BN68" i="31"/>
  <c r="BM68" i="31"/>
  <c r="BN67" i="31"/>
  <c r="BM67" i="31"/>
  <c r="BN66" i="31"/>
  <c r="BM66" i="31"/>
  <c r="BO65" i="31"/>
  <c r="BN65" i="31"/>
  <c r="BM65" i="31"/>
  <c r="BN64" i="31"/>
  <c r="BO64" i="31" s="1"/>
  <c r="BM64" i="31"/>
  <c r="BN63" i="31"/>
  <c r="BO63" i="31" s="1"/>
  <c r="BM63" i="31"/>
  <c r="BN62" i="31"/>
  <c r="BM62" i="31"/>
  <c r="BN61" i="31"/>
  <c r="BO61" i="31" s="1"/>
  <c r="BM61" i="31"/>
  <c r="BO60" i="31"/>
  <c r="BN60" i="31"/>
  <c r="BM60" i="31"/>
  <c r="BN59" i="31"/>
  <c r="BM59" i="31"/>
  <c r="BN58" i="31"/>
  <c r="BO58" i="31" s="1"/>
  <c r="BM58" i="31"/>
  <c r="BO57" i="31"/>
  <c r="BN57" i="31"/>
  <c r="BM57" i="31"/>
  <c r="BN56" i="31"/>
  <c r="BO56" i="31" s="1"/>
  <c r="BM56" i="31"/>
  <c r="BN55" i="31"/>
  <c r="BM55" i="31"/>
  <c r="BN54" i="31"/>
  <c r="BM54" i="31"/>
  <c r="BN53" i="31"/>
  <c r="BO53" i="31" s="1"/>
  <c r="BM53" i="31"/>
  <c r="BN52" i="31"/>
  <c r="BO52" i="31" s="1"/>
  <c r="BM52" i="31"/>
  <c r="BN51" i="31"/>
  <c r="BM51" i="31"/>
  <c r="BG88" i="31"/>
  <c r="BH88" i="31" s="1"/>
  <c r="BF88" i="31"/>
  <c r="BH87" i="31"/>
  <c r="BG87" i="31"/>
  <c r="BF87" i="31"/>
  <c r="BG86" i="31"/>
  <c r="BH86" i="31" s="1"/>
  <c r="BF86" i="31"/>
  <c r="BG85" i="31"/>
  <c r="BH85" i="31" s="1"/>
  <c r="BF85" i="31"/>
  <c r="BG84" i="31"/>
  <c r="BF84" i="31"/>
  <c r="BG83" i="31"/>
  <c r="BH83" i="31" s="1"/>
  <c r="BF83" i="31"/>
  <c r="BG82" i="31"/>
  <c r="BH82" i="31" s="1"/>
  <c r="BF82" i="31"/>
  <c r="BG81" i="31"/>
  <c r="BF81" i="31"/>
  <c r="BG80" i="31"/>
  <c r="BH80" i="31" s="1"/>
  <c r="BF80" i="31"/>
  <c r="BH79" i="31"/>
  <c r="BG79" i="31"/>
  <c r="BF79" i="31"/>
  <c r="BG78" i="31"/>
  <c r="BF78" i="31"/>
  <c r="BH77" i="31"/>
  <c r="BG77" i="31"/>
  <c r="BF77" i="31"/>
  <c r="BG76" i="31"/>
  <c r="BF76" i="31"/>
  <c r="BG75" i="31"/>
  <c r="BF75" i="31"/>
  <c r="BH74" i="31"/>
  <c r="BG74" i="31"/>
  <c r="BF74" i="31"/>
  <c r="BG73" i="31"/>
  <c r="BF73" i="31"/>
  <c r="BG72" i="31"/>
  <c r="BF72" i="31"/>
  <c r="BH71" i="31"/>
  <c r="BG71" i="31"/>
  <c r="BF71" i="31"/>
  <c r="BG70" i="31"/>
  <c r="BH70" i="31" s="1"/>
  <c r="BF70" i="31"/>
  <c r="BG69" i="31"/>
  <c r="BH69" i="31" s="1"/>
  <c r="BF69" i="31"/>
  <c r="BG68" i="31"/>
  <c r="BF68" i="31"/>
  <c r="BG67" i="31"/>
  <c r="BH67" i="31" s="1"/>
  <c r="BF67" i="31"/>
  <c r="BG66" i="31"/>
  <c r="BH66" i="31" s="1"/>
  <c r="BF66" i="31"/>
  <c r="BG65" i="31"/>
  <c r="BF65" i="31"/>
  <c r="BG64" i="31"/>
  <c r="BH64" i="31" s="1"/>
  <c r="BF64" i="31"/>
  <c r="BH63" i="31"/>
  <c r="BG63" i="31"/>
  <c r="BF63" i="31"/>
  <c r="BG62" i="31"/>
  <c r="BH62" i="31" s="1"/>
  <c r="BF62" i="31"/>
  <c r="BG61" i="31"/>
  <c r="BF61" i="31"/>
  <c r="BG60" i="31"/>
  <c r="BF60" i="31"/>
  <c r="BG59" i="31"/>
  <c r="BH59" i="31" s="1"/>
  <c r="BF59" i="31"/>
  <c r="BG58" i="31"/>
  <c r="BH58" i="31" s="1"/>
  <c r="BF58" i="31"/>
  <c r="BG57" i="31"/>
  <c r="BF57" i="31"/>
  <c r="BG56" i="31"/>
  <c r="BH56" i="31" s="1"/>
  <c r="BF56" i="31"/>
  <c r="BH55" i="31"/>
  <c r="BG55" i="31"/>
  <c r="BF55" i="31"/>
  <c r="BG54" i="31"/>
  <c r="BH54" i="31" s="1"/>
  <c r="BF54" i="31"/>
  <c r="BG53" i="31"/>
  <c r="BH53" i="31" s="1"/>
  <c r="BF53" i="31"/>
  <c r="BG52" i="31"/>
  <c r="BF52" i="31"/>
  <c r="BG51" i="31"/>
  <c r="BH51" i="31" s="1"/>
  <c r="BF51" i="31"/>
  <c r="AZ88" i="31"/>
  <c r="BA88" i="31" s="1"/>
  <c r="AY88" i="31"/>
  <c r="AZ87" i="31"/>
  <c r="AY87" i="31"/>
  <c r="AZ86" i="31"/>
  <c r="BA86" i="31" s="1"/>
  <c r="AY86" i="31"/>
  <c r="BA85" i="31"/>
  <c r="AZ85" i="31"/>
  <c r="AY85" i="31"/>
  <c r="AZ84" i="31"/>
  <c r="AY84" i="31"/>
  <c r="BA83" i="31"/>
  <c r="AZ83" i="31"/>
  <c r="AY83" i="31"/>
  <c r="AZ82" i="31"/>
  <c r="AY82" i="31"/>
  <c r="AZ81" i="31"/>
  <c r="AY81" i="31"/>
  <c r="BA80" i="31"/>
  <c r="AZ80" i="31"/>
  <c r="AY80" i="31"/>
  <c r="AZ79" i="31"/>
  <c r="AY79" i="31"/>
  <c r="AZ78" i="31"/>
  <c r="BA78" i="31" s="1"/>
  <c r="AY78" i="31"/>
  <c r="BA77" i="31"/>
  <c r="AZ77" i="31"/>
  <c r="AY77" i="31"/>
  <c r="AZ76" i="31"/>
  <c r="BA76" i="31" s="1"/>
  <c r="AY76" i="31"/>
  <c r="AZ75" i="31"/>
  <c r="BA75" i="31" s="1"/>
  <c r="AY75" i="31"/>
  <c r="AZ74" i="31"/>
  <c r="AY74" i="31"/>
  <c r="AZ73" i="31"/>
  <c r="BA73" i="31" s="1"/>
  <c r="AY73" i="31"/>
  <c r="AZ72" i="31"/>
  <c r="BA72" i="31" s="1"/>
  <c r="AY72" i="31"/>
  <c r="AZ71" i="31"/>
  <c r="AY71" i="31"/>
  <c r="AZ70" i="31"/>
  <c r="BA70" i="31" s="1"/>
  <c r="AY70" i="31"/>
  <c r="BA69" i="31"/>
  <c r="AZ69" i="31"/>
  <c r="AY69" i="31"/>
  <c r="AZ68" i="31"/>
  <c r="BA68" i="31" s="1"/>
  <c r="AY68" i="31"/>
  <c r="AZ67" i="31"/>
  <c r="AY67" i="31"/>
  <c r="AZ66" i="31"/>
  <c r="AY66" i="31"/>
  <c r="AZ65" i="31"/>
  <c r="BA65" i="31" s="1"/>
  <c r="AY65" i="31"/>
  <c r="AZ64" i="31"/>
  <c r="BA64" i="31" s="1"/>
  <c r="AY64" i="31"/>
  <c r="AZ63" i="31"/>
  <c r="AY63" i="31"/>
  <c r="AZ62" i="31"/>
  <c r="BA62" i="31" s="1"/>
  <c r="AY62" i="31"/>
  <c r="BA61" i="31"/>
  <c r="AZ61" i="31"/>
  <c r="AY61" i="31"/>
  <c r="AZ60" i="31"/>
  <c r="BA60" i="31" s="1"/>
  <c r="AY60" i="31"/>
  <c r="AZ59" i="31"/>
  <c r="BA59" i="31" s="1"/>
  <c r="AY59" i="31"/>
  <c r="AZ58" i="31"/>
  <c r="AY58" i="31"/>
  <c r="BA57" i="31"/>
  <c r="AZ57" i="31"/>
  <c r="AY57" i="31"/>
  <c r="AZ56" i="31"/>
  <c r="BA56" i="31" s="1"/>
  <c r="AY56" i="31"/>
  <c r="AZ55" i="31"/>
  <c r="AY55" i="31"/>
  <c r="AZ54" i="31"/>
  <c r="BA54" i="31" s="1"/>
  <c r="AY54" i="31"/>
  <c r="BA53" i="31"/>
  <c r="AZ53" i="31"/>
  <c r="AY53" i="31"/>
  <c r="AZ52" i="31"/>
  <c r="AY52" i="31"/>
  <c r="BA51" i="31"/>
  <c r="AZ51" i="31"/>
  <c r="AY51" i="31"/>
  <c r="AS88" i="31"/>
  <c r="AR88" i="31"/>
  <c r="AS87" i="31"/>
  <c r="AR87" i="31"/>
  <c r="AT86" i="31"/>
  <c r="AS86" i="31"/>
  <c r="AR86" i="31"/>
  <c r="AS85" i="31"/>
  <c r="AR85" i="31"/>
  <c r="AS84" i="31"/>
  <c r="AR84" i="31"/>
  <c r="AT83" i="31"/>
  <c r="AS83" i="31"/>
  <c r="AR83" i="31"/>
  <c r="AS82" i="31"/>
  <c r="AT82" i="31" s="1"/>
  <c r="AR82" i="31"/>
  <c r="AS81" i="31"/>
  <c r="AT81" i="31" s="1"/>
  <c r="AR81" i="31"/>
  <c r="AS80" i="31"/>
  <c r="AR80" i="31"/>
  <c r="AS79" i="31"/>
  <c r="AT79" i="31" s="1"/>
  <c r="AR79" i="31"/>
  <c r="AS78" i="31"/>
  <c r="AT78" i="31" s="1"/>
  <c r="AR78" i="31"/>
  <c r="AS77" i="31"/>
  <c r="AR77" i="31"/>
  <c r="AS76" i="31"/>
  <c r="AT76" i="31" s="1"/>
  <c r="AR76" i="31"/>
  <c r="AT75" i="31"/>
  <c r="AS75" i="31"/>
  <c r="AR75" i="31"/>
  <c r="AS74" i="31"/>
  <c r="AT74" i="31" s="1"/>
  <c r="AR74" i="31"/>
  <c r="AS73" i="31"/>
  <c r="AR73" i="31"/>
  <c r="AS72" i="31"/>
  <c r="AR72" i="31"/>
  <c r="AS71" i="31"/>
  <c r="AT71" i="31" s="1"/>
  <c r="AR71" i="31"/>
  <c r="AS70" i="31"/>
  <c r="AT70" i="31" s="1"/>
  <c r="AR70" i="31"/>
  <c r="AS69" i="31"/>
  <c r="AR69" i="31"/>
  <c r="AS68" i="31"/>
  <c r="AT68" i="31" s="1"/>
  <c r="AR68" i="31"/>
  <c r="AT67" i="31"/>
  <c r="AS67" i="31"/>
  <c r="AR67" i="31"/>
  <c r="AS66" i="31"/>
  <c r="AT66" i="31" s="1"/>
  <c r="AR66" i="31"/>
  <c r="AS65" i="31"/>
  <c r="AT65" i="31" s="1"/>
  <c r="AR65" i="31"/>
  <c r="AS64" i="31"/>
  <c r="AR64" i="31"/>
  <c r="AS63" i="31"/>
  <c r="AT63" i="31" s="1"/>
  <c r="AR63" i="31"/>
  <c r="AS62" i="31"/>
  <c r="AT62" i="31" s="1"/>
  <c r="AR62" i="31"/>
  <c r="AS61" i="31"/>
  <c r="AR61" i="31"/>
  <c r="AS60" i="31"/>
  <c r="AT60" i="31" s="1"/>
  <c r="AR60" i="31"/>
  <c r="AT59" i="31"/>
  <c r="AS59" i="31"/>
  <c r="AR59" i="31"/>
  <c r="AS58" i="31"/>
  <c r="AT58" i="31" s="1"/>
  <c r="AR58" i="31"/>
  <c r="AT57" i="31"/>
  <c r="AS57" i="31"/>
  <c r="AR57" i="31"/>
  <c r="AS56" i="31"/>
  <c r="AR56" i="31"/>
  <c r="AS55" i="31"/>
  <c r="AR55" i="31"/>
  <c r="AT54" i="31"/>
  <c r="AS54" i="31"/>
  <c r="AR54" i="31"/>
  <c r="AS53" i="31"/>
  <c r="AR53" i="31"/>
  <c r="AS52" i="31"/>
  <c r="AR52" i="31"/>
  <c r="AT51" i="31"/>
  <c r="AS51" i="31"/>
  <c r="AR51" i="31"/>
  <c r="AL88" i="31"/>
  <c r="AM88" i="31" s="1"/>
  <c r="AK88" i="31"/>
  <c r="AL87" i="31"/>
  <c r="AM87" i="31" s="1"/>
  <c r="AK87" i="31"/>
  <c r="AL86" i="31"/>
  <c r="AK86" i="31"/>
  <c r="AL85" i="31"/>
  <c r="AM85" i="31" s="1"/>
  <c r="AK85" i="31"/>
  <c r="AL84" i="31"/>
  <c r="AM84" i="31" s="1"/>
  <c r="AK84" i="31"/>
  <c r="AL83" i="31"/>
  <c r="AK83" i="31"/>
  <c r="AL82" i="31"/>
  <c r="AM82" i="31" s="1"/>
  <c r="AK82" i="31"/>
  <c r="AM81" i="31"/>
  <c r="AL81" i="31"/>
  <c r="AK81" i="31"/>
  <c r="AL80" i="31"/>
  <c r="AM80" i="31" s="1"/>
  <c r="AK80" i="31"/>
  <c r="AL79" i="31"/>
  <c r="AM79" i="31" s="1"/>
  <c r="AK79" i="31"/>
  <c r="AL78" i="31"/>
  <c r="AK78" i="31"/>
  <c r="AL77" i="31"/>
  <c r="AM77" i="31" s="1"/>
  <c r="AK77" i="31"/>
  <c r="AL76" i="31"/>
  <c r="AM76" i="31" s="1"/>
  <c r="AK76" i="31"/>
  <c r="AL75" i="31"/>
  <c r="AM75" i="31" s="1"/>
  <c r="AK75" i="31"/>
  <c r="AL74" i="31"/>
  <c r="AM74" i="31" s="1"/>
  <c r="AK74" i="31"/>
  <c r="AM73" i="31"/>
  <c r="AL73" i="31"/>
  <c r="AK73" i="31"/>
  <c r="AL72" i="31"/>
  <c r="AM72" i="31" s="1"/>
  <c r="AK72" i="31"/>
  <c r="AL71" i="31"/>
  <c r="AM71" i="31" s="1"/>
  <c r="AK71" i="31"/>
  <c r="AL70" i="31"/>
  <c r="AK70" i="31"/>
  <c r="AL69" i="31"/>
  <c r="AM69" i="31" s="1"/>
  <c r="AK69" i="31"/>
  <c r="AL68" i="31"/>
  <c r="AM68" i="31" s="1"/>
  <c r="AK68" i="31"/>
  <c r="AL67" i="31"/>
  <c r="AK67" i="31"/>
  <c r="AL66" i="31"/>
  <c r="AM66" i="31" s="1"/>
  <c r="AK66" i="31"/>
  <c r="AM65" i="31"/>
  <c r="AL65" i="31"/>
  <c r="AK65" i="31"/>
  <c r="AL64" i="31"/>
  <c r="AK64" i="31"/>
  <c r="AM63" i="31"/>
  <c r="AL63" i="31"/>
  <c r="AK63" i="31"/>
  <c r="AL62" i="31"/>
  <c r="AK62" i="31"/>
  <c r="AL61" i="31"/>
  <c r="AK61" i="31"/>
  <c r="AM60" i="31"/>
  <c r="AL60" i="31"/>
  <c r="AK60" i="31"/>
  <c r="AL59" i="31"/>
  <c r="AK59" i="31"/>
  <c r="AL58" i="31"/>
  <c r="AK58" i="31"/>
  <c r="AM57" i="31"/>
  <c r="AL57" i="31"/>
  <c r="AK57" i="31"/>
  <c r="AL56" i="31"/>
  <c r="AM56" i="31" s="1"/>
  <c r="AK56" i="31"/>
  <c r="AM55" i="31"/>
  <c r="AL55" i="31"/>
  <c r="AK55" i="31"/>
  <c r="AL54" i="31"/>
  <c r="AK54" i="31"/>
  <c r="AL53" i="31"/>
  <c r="AM53" i="31" s="1"/>
  <c r="AK53" i="31"/>
  <c r="AL52" i="31"/>
  <c r="AM52" i="31" s="1"/>
  <c r="AK52" i="31"/>
  <c r="AL51" i="31"/>
  <c r="AK51" i="31"/>
  <c r="AE88" i="31"/>
  <c r="AF88" i="31" s="1"/>
  <c r="AD88" i="31"/>
  <c r="AF87" i="31"/>
  <c r="AE87" i="31"/>
  <c r="AD87" i="31"/>
  <c r="AE86" i="31"/>
  <c r="AF86" i="31" s="1"/>
  <c r="AD86" i="31"/>
  <c r="AE85" i="31"/>
  <c r="AD85" i="31"/>
  <c r="AE84" i="31"/>
  <c r="AD84" i="31"/>
  <c r="AE83" i="31"/>
  <c r="AF83" i="31" s="1"/>
  <c r="AD83" i="31"/>
  <c r="AE82" i="31"/>
  <c r="AF82" i="31" s="1"/>
  <c r="AD82" i="31"/>
  <c r="AE81" i="31"/>
  <c r="AD81" i="31"/>
  <c r="AE80" i="31"/>
  <c r="AF80" i="31" s="1"/>
  <c r="AD80" i="31"/>
  <c r="AF79" i="31"/>
  <c r="AE79" i="31"/>
  <c r="AD79" i="31"/>
  <c r="AE78" i="31"/>
  <c r="AF78" i="31" s="1"/>
  <c r="AD78" i="31"/>
  <c r="AE77" i="31"/>
  <c r="AF77" i="31" s="1"/>
  <c r="AD77" i="31"/>
  <c r="AE76" i="31"/>
  <c r="AD76" i="31"/>
  <c r="AE75" i="31"/>
  <c r="AF75" i="31" s="1"/>
  <c r="AD75" i="31"/>
  <c r="AE74" i="31"/>
  <c r="AF74" i="31" s="1"/>
  <c r="AD74" i="31"/>
  <c r="AE73" i="31"/>
  <c r="AD73" i="31"/>
  <c r="AF72" i="31"/>
  <c r="AE72" i="31"/>
  <c r="AD72" i="31"/>
  <c r="AF71" i="31"/>
  <c r="AE71" i="31"/>
  <c r="AD71" i="31"/>
  <c r="AE70" i="31"/>
  <c r="AD70" i="31"/>
  <c r="AF69" i="31"/>
  <c r="AE69" i="31"/>
  <c r="AD69" i="31"/>
  <c r="AE68" i="31"/>
  <c r="AD68" i="31"/>
  <c r="AE67" i="31"/>
  <c r="AD67" i="31"/>
  <c r="AF66" i="31"/>
  <c r="AE66" i="31"/>
  <c r="AD66" i="31"/>
  <c r="AE65" i="31"/>
  <c r="AD65" i="31"/>
  <c r="AE64" i="31"/>
  <c r="AD64" i="31"/>
  <c r="AF63" i="31"/>
  <c r="AE63" i="31"/>
  <c r="AD63" i="31"/>
  <c r="AE62" i="31"/>
  <c r="AF62" i="31" s="1"/>
  <c r="AD62" i="31"/>
  <c r="AE61" i="31"/>
  <c r="AF61" i="31" s="1"/>
  <c r="AD61" i="31"/>
  <c r="AE60" i="31"/>
  <c r="AD60" i="31"/>
  <c r="AE59" i="31"/>
  <c r="AF59" i="31" s="1"/>
  <c r="AD59" i="31"/>
  <c r="AE58" i="31"/>
  <c r="AF58" i="31" s="1"/>
  <c r="AD58" i="31"/>
  <c r="AE57" i="31"/>
  <c r="AD57" i="31"/>
  <c r="AE56" i="31"/>
  <c r="AF56" i="31" s="1"/>
  <c r="AD56" i="31"/>
  <c r="AF55" i="31"/>
  <c r="AE55" i="31"/>
  <c r="AD55" i="31"/>
  <c r="AE54" i="31"/>
  <c r="AF54" i="31" s="1"/>
  <c r="AD54" i="31"/>
  <c r="AE53" i="31"/>
  <c r="AD53" i="31"/>
  <c r="AE52" i="31"/>
  <c r="AF52" i="31" s="1"/>
  <c r="AD52" i="31"/>
  <c r="AE51" i="31"/>
  <c r="AF51" i="31" s="1"/>
  <c r="AD51" i="31"/>
  <c r="X88" i="31"/>
  <c r="Y88" i="31" s="1"/>
  <c r="W88" i="31"/>
  <c r="X87" i="31"/>
  <c r="W87" i="31"/>
  <c r="X86" i="31"/>
  <c r="Y86" i="31" s="1"/>
  <c r="W86" i="31"/>
  <c r="Y85" i="31"/>
  <c r="X85" i="31"/>
  <c r="W85" i="31"/>
  <c r="X84" i="31"/>
  <c r="Y84" i="31" s="1"/>
  <c r="W84" i="31"/>
  <c r="X83" i="31"/>
  <c r="Y83" i="31" s="1"/>
  <c r="W83" i="31"/>
  <c r="X82" i="31"/>
  <c r="W82" i="31"/>
  <c r="X81" i="31"/>
  <c r="Y81" i="31" s="1"/>
  <c r="W81" i="31"/>
  <c r="X80" i="31"/>
  <c r="Y80" i="31" s="1"/>
  <c r="W80" i="31"/>
  <c r="X79" i="31"/>
  <c r="W79" i="31"/>
  <c r="X78" i="31"/>
  <c r="Y78" i="31" s="1"/>
  <c r="W78" i="31"/>
  <c r="Y77" i="31"/>
  <c r="X77" i="31"/>
  <c r="W77" i="31"/>
  <c r="X76" i="31"/>
  <c r="W76" i="31"/>
  <c r="Y75" i="31"/>
  <c r="X75" i="31"/>
  <c r="W75" i="31"/>
  <c r="X74" i="31"/>
  <c r="W74" i="31"/>
  <c r="X73" i="31"/>
  <c r="Y73" i="31" s="1"/>
  <c r="W73" i="31"/>
  <c r="Y72" i="31"/>
  <c r="X72" i="31"/>
  <c r="W72" i="31"/>
  <c r="X71" i="31"/>
  <c r="W71" i="31"/>
  <c r="X70" i="31"/>
  <c r="W70" i="31"/>
  <c r="Y69" i="31"/>
  <c r="X69" i="31"/>
  <c r="W69" i="31"/>
  <c r="X68" i="31"/>
  <c r="Y68" i="31" s="1"/>
  <c r="W68" i="31"/>
  <c r="X67" i="31"/>
  <c r="Y67" i="31" s="1"/>
  <c r="W67" i="31"/>
  <c r="X66" i="31"/>
  <c r="W66" i="31"/>
  <c r="X65" i="31"/>
  <c r="Y65" i="31" s="1"/>
  <c r="W65" i="31"/>
  <c r="X64" i="31"/>
  <c r="Y64" i="31" s="1"/>
  <c r="W64" i="31"/>
  <c r="X63" i="31"/>
  <c r="W63" i="31"/>
  <c r="X62" i="31"/>
  <c r="Y62" i="31" s="1"/>
  <c r="W62" i="31"/>
  <c r="Y61" i="31"/>
  <c r="X61" i="31"/>
  <c r="W61" i="31"/>
  <c r="X60" i="31"/>
  <c r="Y60" i="31" s="1"/>
  <c r="W60" i="31"/>
  <c r="X59" i="31"/>
  <c r="W59" i="31"/>
  <c r="X58" i="31"/>
  <c r="W58" i="31"/>
  <c r="X57" i="31"/>
  <c r="Y57" i="31" s="1"/>
  <c r="W57" i="31"/>
  <c r="X56" i="31"/>
  <c r="Y56" i="31" s="1"/>
  <c r="W56" i="31"/>
  <c r="X55" i="31"/>
  <c r="W55" i="31"/>
  <c r="X54" i="31"/>
  <c r="Y54" i="31" s="1"/>
  <c r="W54" i="31"/>
  <c r="Y53" i="31"/>
  <c r="X53" i="31"/>
  <c r="W53" i="31"/>
  <c r="Y52" i="31"/>
  <c r="X52" i="31"/>
  <c r="W52" i="31"/>
  <c r="X51" i="31"/>
  <c r="Y51" i="31" s="1"/>
  <c r="W51" i="31"/>
  <c r="Q88" i="31"/>
  <c r="P88" i="31"/>
  <c r="Q87" i="31"/>
  <c r="R87" i="31" s="1"/>
  <c r="P87" i="31"/>
  <c r="Q86" i="31"/>
  <c r="R86" i="31" s="1"/>
  <c r="P86" i="31"/>
  <c r="Q85" i="31"/>
  <c r="P85" i="31"/>
  <c r="Q84" i="31"/>
  <c r="R84" i="31" s="1"/>
  <c r="P84" i="31"/>
  <c r="R83" i="31"/>
  <c r="Q83" i="31"/>
  <c r="P83" i="31"/>
  <c r="Q82" i="31"/>
  <c r="P82" i="31"/>
  <c r="R81" i="31"/>
  <c r="Q81" i="31"/>
  <c r="P81" i="31"/>
  <c r="Q80" i="31"/>
  <c r="P80" i="31"/>
  <c r="Q79" i="31"/>
  <c r="P79" i="31"/>
  <c r="R78" i="31"/>
  <c r="Q78" i="31"/>
  <c r="P78" i="31"/>
  <c r="Q77" i="31"/>
  <c r="P77" i="31"/>
  <c r="Q76" i="31"/>
  <c r="P76" i="31"/>
  <c r="R75" i="31"/>
  <c r="Q75" i="31"/>
  <c r="P75" i="31"/>
  <c r="Q74" i="31"/>
  <c r="R74" i="31" s="1"/>
  <c r="P74" i="31"/>
  <c r="Q73" i="31"/>
  <c r="R73" i="31" s="1"/>
  <c r="P73" i="31"/>
  <c r="Q72" i="31"/>
  <c r="P72" i="31"/>
  <c r="Q71" i="31"/>
  <c r="R71" i="31" s="1"/>
  <c r="P71" i="31"/>
  <c r="R70" i="31"/>
  <c r="Q70" i="31"/>
  <c r="P70" i="31"/>
  <c r="Q69" i="31"/>
  <c r="P69" i="31"/>
  <c r="Q68" i="31"/>
  <c r="R68" i="31" s="1"/>
  <c r="P68" i="31"/>
  <c r="R67" i="31"/>
  <c r="Q67" i="31"/>
  <c r="P67" i="31"/>
  <c r="Q66" i="31"/>
  <c r="R66" i="31" s="1"/>
  <c r="P66" i="31"/>
  <c r="Q65" i="31"/>
  <c r="P65" i="31"/>
  <c r="Q64" i="31"/>
  <c r="P64" i="31"/>
  <c r="Q63" i="31"/>
  <c r="R63" i="31" s="1"/>
  <c r="P63" i="31"/>
  <c r="Q62" i="31"/>
  <c r="R62" i="31" s="1"/>
  <c r="P62" i="31"/>
  <c r="Q61" i="31"/>
  <c r="P61" i="31"/>
  <c r="Q60" i="31"/>
  <c r="R60" i="31" s="1"/>
  <c r="P60" i="31"/>
  <c r="Q59" i="31"/>
  <c r="P59" i="31"/>
  <c r="R59" i="31" s="1"/>
  <c r="Q58" i="31"/>
  <c r="R58" i="31" s="1"/>
  <c r="P58" i="31"/>
  <c r="Q57" i="31"/>
  <c r="R57" i="31" s="1"/>
  <c r="P57" i="31"/>
  <c r="Q56" i="31"/>
  <c r="P56" i="31"/>
  <c r="Q55" i="31"/>
  <c r="R55" i="31" s="1"/>
  <c r="P55" i="31"/>
  <c r="Q54" i="31"/>
  <c r="R54" i="31" s="1"/>
  <c r="P54" i="31"/>
  <c r="Q53" i="31"/>
  <c r="P53" i="31"/>
  <c r="R52" i="31"/>
  <c r="Q52" i="31"/>
  <c r="P52" i="31"/>
  <c r="Q51" i="31"/>
  <c r="P51" i="31"/>
  <c r="R51" i="31" s="1"/>
  <c r="I52" i="31"/>
  <c r="J52" i="31"/>
  <c r="K52" i="31"/>
  <c r="I53" i="31"/>
  <c r="J53" i="31"/>
  <c r="K53" i="31"/>
  <c r="I54" i="31"/>
  <c r="J54" i="31"/>
  <c r="K54" i="31" s="1"/>
  <c r="I55" i="31"/>
  <c r="J55" i="31"/>
  <c r="K55" i="31"/>
  <c r="I56" i="31"/>
  <c r="J56" i="31"/>
  <c r="K56" i="31"/>
  <c r="I57" i="31"/>
  <c r="K57" i="31" s="1"/>
  <c r="J57" i="31"/>
  <c r="I58" i="31"/>
  <c r="J58" i="31"/>
  <c r="K58" i="31"/>
  <c r="I59" i="31"/>
  <c r="J59" i="31"/>
  <c r="K59" i="31"/>
  <c r="I60" i="31"/>
  <c r="J60" i="31"/>
  <c r="K60" i="31"/>
  <c r="I61" i="31"/>
  <c r="J61" i="31"/>
  <c r="K61" i="31"/>
  <c r="I62" i="31"/>
  <c r="J62" i="31"/>
  <c r="K62" i="31" s="1"/>
  <c r="I63" i="31"/>
  <c r="J63" i="31"/>
  <c r="K63" i="31"/>
  <c r="I64" i="31"/>
  <c r="J64" i="31"/>
  <c r="K64" i="31"/>
  <c r="I65" i="31"/>
  <c r="K65" i="31" s="1"/>
  <c r="J65" i="31"/>
  <c r="I66" i="31"/>
  <c r="J66" i="31"/>
  <c r="K66" i="31"/>
  <c r="I67" i="31"/>
  <c r="J67" i="31"/>
  <c r="K67" i="31"/>
  <c r="I68" i="31"/>
  <c r="J68" i="31"/>
  <c r="K68" i="31"/>
  <c r="I69" i="31"/>
  <c r="J69" i="31"/>
  <c r="K69" i="31"/>
  <c r="I70" i="31"/>
  <c r="J70" i="31"/>
  <c r="K70" i="31" s="1"/>
  <c r="I71" i="31"/>
  <c r="J71" i="31"/>
  <c r="K71" i="31"/>
  <c r="I72" i="31"/>
  <c r="J72" i="31"/>
  <c r="K72" i="31"/>
  <c r="I73" i="31"/>
  <c r="K73" i="31" s="1"/>
  <c r="J73" i="31"/>
  <c r="I74" i="31"/>
  <c r="J74" i="31"/>
  <c r="K74" i="31"/>
  <c r="I75" i="31"/>
  <c r="J75" i="31"/>
  <c r="K75" i="31"/>
  <c r="I76" i="31"/>
  <c r="J76" i="31"/>
  <c r="K76" i="31"/>
  <c r="I77" i="31"/>
  <c r="J77" i="31"/>
  <c r="K77" i="31"/>
  <c r="I78" i="31"/>
  <c r="J78" i="31"/>
  <c r="K78" i="31" s="1"/>
  <c r="I79" i="31"/>
  <c r="J79" i="31"/>
  <c r="K79" i="31"/>
  <c r="I80" i="31"/>
  <c r="J80" i="31"/>
  <c r="K80" i="31"/>
  <c r="I81" i="31"/>
  <c r="K81" i="31" s="1"/>
  <c r="J81" i="31"/>
  <c r="I82" i="31"/>
  <c r="J82" i="31"/>
  <c r="K82" i="31"/>
  <c r="I83" i="31"/>
  <c r="J83" i="31"/>
  <c r="K83" i="31"/>
  <c r="I84" i="31"/>
  <c r="J84" i="31"/>
  <c r="K84" i="31"/>
  <c r="I85" i="31"/>
  <c r="J85" i="31"/>
  <c r="K85" i="31"/>
  <c r="I86" i="31"/>
  <c r="J86" i="31"/>
  <c r="K86" i="31" s="1"/>
  <c r="I87" i="31"/>
  <c r="J87" i="31"/>
  <c r="K87" i="31"/>
  <c r="I88" i="31"/>
  <c r="J88" i="31"/>
  <c r="K88" i="31"/>
  <c r="BW8" i="31"/>
  <c r="BX8" i="31"/>
  <c r="BY8" i="31"/>
  <c r="BZ8" i="31"/>
  <c r="CA8" i="31"/>
  <c r="CB8" i="31"/>
  <c r="CC8" i="31"/>
  <c r="CD8" i="31"/>
  <c r="CE8" i="31" s="1"/>
  <c r="BW9" i="31"/>
  <c r="BX9" i="31"/>
  <c r="CD9" i="31" s="1"/>
  <c r="CE9" i="31" s="1"/>
  <c r="BY9" i="31"/>
  <c r="BZ9" i="31"/>
  <c r="CA9" i="31"/>
  <c r="CB9" i="31"/>
  <c r="CC9" i="31"/>
  <c r="BW10" i="31"/>
  <c r="CC10" i="31" s="1"/>
  <c r="BX10" i="31"/>
  <c r="CD10" i="31" s="1"/>
  <c r="BY10" i="31"/>
  <c r="BZ10" i="31"/>
  <c r="CA10" i="31"/>
  <c r="CB10" i="31"/>
  <c r="BW11" i="31"/>
  <c r="CC11" i="31" s="1"/>
  <c r="BX11" i="31"/>
  <c r="CD11" i="31" s="1"/>
  <c r="CE11" i="31" s="1"/>
  <c r="BY11" i="31"/>
  <c r="BZ11" i="31"/>
  <c r="CA11" i="31"/>
  <c r="CB11" i="31" s="1"/>
  <c r="BW12" i="31"/>
  <c r="CC12" i="31" s="1"/>
  <c r="BX12" i="31"/>
  <c r="CD12" i="31" s="1"/>
  <c r="CE12" i="31" s="1"/>
  <c r="BY12" i="31"/>
  <c r="BZ12" i="31"/>
  <c r="CB12" i="31" s="1"/>
  <c r="CA12" i="31"/>
  <c r="BW13" i="31"/>
  <c r="CC13" i="31" s="1"/>
  <c r="BX13" i="31"/>
  <c r="CD13" i="31" s="1"/>
  <c r="BY13" i="31"/>
  <c r="BZ13" i="31"/>
  <c r="CA13" i="31"/>
  <c r="CB13" i="31"/>
  <c r="BW14" i="31"/>
  <c r="CC14" i="31" s="1"/>
  <c r="BX14" i="31"/>
  <c r="BY14" i="31" s="1"/>
  <c r="BZ14" i="31"/>
  <c r="CA14" i="31"/>
  <c r="CB14" i="31"/>
  <c r="BW15" i="31"/>
  <c r="CC15" i="31" s="1"/>
  <c r="CE15" i="31" s="1"/>
  <c r="BX15" i="31"/>
  <c r="BZ15" i="31"/>
  <c r="CA15" i="31"/>
  <c r="CB15" i="31"/>
  <c r="CD15" i="31"/>
  <c r="BW16" i="31"/>
  <c r="BX16" i="31"/>
  <c r="BY16" i="31"/>
  <c r="BZ16" i="31"/>
  <c r="CA16" i="31"/>
  <c r="CB16" i="31"/>
  <c r="CC16" i="31"/>
  <c r="CD16" i="31"/>
  <c r="CE16" i="31" s="1"/>
  <c r="BW17" i="31"/>
  <c r="BX17" i="31"/>
  <c r="CD17" i="31" s="1"/>
  <c r="CE17" i="31" s="1"/>
  <c r="BY17" i="31"/>
  <c r="BZ17" i="31"/>
  <c r="CA17" i="31"/>
  <c r="CB17" i="31"/>
  <c r="CC17" i="31"/>
  <c r="BW18" i="31"/>
  <c r="CC18" i="31" s="1"/>
  <c r="BX18" i="31"/>
  <c r="CD18" i="31" s="1"/>
  <c r="BY18" i="31"/>
  <c r="BZ18" i="31"/>
  <c r="CA18" i="31"/>
  <c r="CB18" i="31"/>
  <c r="BW19" i="31"/>
  <c r="CC19" i="31" s="1"/>
  <c r="BX19" i="31"/>
  <c r="CD19" i="31" s="1"/>
  <c r="CE19" i="31" s="1"/>
  <c r="BY19" i="31"/>
  <c r="BZ19" i="31"/>
  <c r="CA19" i="31"/>
  <c r="CB19" i="31" s="1"/>
  <c r="BW20" i="31"/>
  <c r="CC20" i="31" s="1"/>
  <c r="BX20" i="31"/>
  <c r="CD20" i="31" s="1"/>
  <c r="CE20" i="31" s="1"/>
  <c r="BY20" i="31"/>
  <c r="BZ20" i="31"/>
  <c r="CB20" i="31" s="1"/>
  <c r="CA20" i="31"/>
  <c r="BW21" i="31"/>
  <c r="CC21" i="31" s="1"/>
  <c r="BX21" i="31"/>
  <c r="CD21" i="31" s="1"/>
  <c r="BY21" i="31"/>
  <c r="BZ21" i="31"/>
  <c r="CA21" i="31"/>
  <c r="CB21" i="31"/>
  <c r="BW22" i="31"/>
  <c r="CC22" i="31" s="1"/>
  <c r="BX22" i="31"/>
  <c r="BY22" i="31" s="1"/>
  <c r="BZ22" i="31"/>
  <c r="CA22" i="31"/>
  <c r="CB22" i="31"/>
  <c r="BW23" i="31"/>
  <c r="BY23" i="31" s="1"/>
  <c r="BX23" i="31"/>
  <c r="BZ23" i="31"/>
  <c r="CA23" i="31"/>
  <c r="CB23" i="31"/>
  <c r="CD23" i="31"/>
  <c r="BW24" i="31"/>
  <c r="BX24" i="31"/>
  <c r="BY24" i="31"/>
  <c r="BZ24" i="31"/>
  <c r="CA24" i="31"/>
  <c r="CB24" i="31"/>
  <c r="CC24" i="31"/>
  <c r="CD24" i="31"/>
  <c r="CE24" i="31" s="1"/>
  <c r="BW25" i="31"/>
  <c r="BX25" i="31"/>
  <c r="CD25" i="31" s="1"/>
  <c r="CE25" i="31" s="1"/>
  <c r="BY25" i="31"/>
  <c r="BZ25" i="31"/>
  <c r="CA25" i="31"/>
  <c r="CB25" i="31"/>
  <c r="CC25" i="31"/>
  <c r="BW26" i="31"/>
  <c r="CC26" i="31" s="1"/>
  <c r="BX26" i="31"/>
  <c r="CD26" i="31" s="1"/>
  <c r="BY26" i="31"/>
  <c r="BZ26" i="31"/>
  <c r="CA26" i="31"/>
  <c r="CB26" i="31"/>
  <c r="BW27" i="31"/>
  <c r="CC27" i="31" s="1"/>
  <c r="BX27" i="31"/>
  <c r="CD27" i="31" s="1"/>
  <c r="CE27" i="31" s="1"/>
  <c r="BY27" i="31"/>
  <c r="BZ27" i="31"/>
  <c r="CA27" i="31"/>
  <c r="CB27" i="31" s="1"/>
  <c r="BW28" i="31"/>
  <c r="CC28" i="31" s="1"/>
  <c r="BX28" i="31"/>
  <c r="CD28" i="31" s="1"/>
  <c r="CE28" i="31" s="1"/>
  <c r="BY28" i="31"/>
  <c r="BZ28" i="31"/>
  <c r="CB28" i="31" s="1"/>
  <c r="CA28" i="31"/>
  <c r="BW29" i="31"/>
  <c r="CC29" i="31" s="1"/>
  <c r="BX29" i="31"/>
  <c r="CD29" i="31" s="1"/>
  <c r="BY29" i="31"/>
  <c r="BZ29" i="31"/>
  <c r="CA29" i="31"/>
  <c r="CB29" i="31"/>
  <c r="BW30" i="31"/>
  <c r="CC30" i="31" s="1"/>
  <c r="BX30" i="31"/>
  <c r="BY30" i="31" s="1"/>
  <c r="BZ30" i="31"/>
  <c r="CA30" i="31"/>
  <c r="CB30" i="31"/>
  <c r="BW31" i="31"/>
  <c r="CC31" i="31" s="1"/>
  <c r="CE31" i="31" s="1"/>
  <c r="BX31" i="31"/>
  <c r="BZ31" i="31"/>
  <c r="CA31" i="31"/>
  <c r="CB31" i="31"/>
  <c r="CD31" i="31"/>
  <c r="BW32" i="31"/>
  <c r="BX32" i="31"/>
  <c r="BY32" i="31"/>
  <c r="BZ32" i="31"/>
  <c r="CA32" i="31"/>
  <c r="CB32" i="31"/>
  <c r="CC32" i="31"/>
  <c r="CD32" i="31"/>
  <c r="CE32" i="31" s="1"/>
  <c r="BW33" i="31"/>
  <c r="BX33" i="31"/>
  <c r="CD33" i="31" s="1"/>
  <c r="CE33" i="31" s="1"/>
  <c r="BY33" i="31"/>
  <c r="BZ33" i="31"/>
  <c r="CA33" i="31"/>
  <c r="CB33" i="31"/>
  <c r="CC33" i="31"/>
  <c r="BW34" i="31"/>
  <c r="CC34" i="31" s="1"/>
  <c r="BX34" i="31"/>
  <c r="CD34" i="31" s="1"/>
  <c r="BY34" i="31"/>
  <c r="BZ34" i="31"/>
  <c r="CA34" i="31"/>
  <c r="CB34" i="31"/>
  <c r="BW35" i="31"/>
  <c r="CC35" i="31" s="1"/>
  <c r="BX35" i="31"/>
  <c r="CD35" i="31" s="1"/>
  <c r="CE35" i="31" s="1"/>
  <c r="BY35" i="31"/>
  <c r="BZ35" i="31"/>
  <c r="CA35" i="31"/>
  <c r="CB35" i="31" s="1"/>
  <c r="BW36" i="31"/>
  <c r="CC36" i="31" s="1"/>
  <c r="BX36" i="31"/>
  <c r="CD36" i="31" s="1"/>
  <c r="CE36" i="31" s="1"/>
  <c r="BY36" i="31"/>
  <c r="BZ36" i="31"/>
  <c r="CB36" i="31" s="1"/>
  <c r="CA36" i="31"/>
  <c r="BW37" i="31"/>
  <c r="CC37" i="31" s="1"/>
  <c r="BX37" i="31"/>
  <c r="CD37" i="31" s="1"/>
  <c r="BY37" i="31"/>
  <c r="BZ37" i="31"/>
  <c r="CA37" i="31"/>
  <c r="CB37" i="31"/>
  <c r="BW38" i="31"/>
  <c r="CC38" i="31" s="1"/>
  <c r="BX38" i="31"/>
  <c r="BY38" i="31" s="1"/>
  <c r="BZ38" i="31"/>
  <c r="CA38" i="31"/>
  <c r="CB38" i="31"/>
  <c r="BW39" i="31"/>
  <c r="BY39" i="31" s="1"/>
  <c r="BX39" i="31"/>
  <c r="BZ39" i="31"/>
  <c r="CA39" i="31"/>
  <c r="CB39" i="31"/>
  <c r="CD39" i="31"/>
  <c r="BW40" i="31"/>
  <c r="BX40" i="31"/>
  <c r="BY40" i="31"/>
  <c r="BZ40" i="31"/>
  <c r="CA40" i="31"/>
  <c r="CB40" i="31"/>
  <c r="CC40" i="31"/>
  <c r="CD40" i="31"/>
  <c r="CE40" i="31" s="1"/>
  <c r="BW41" i="31"/>
  <c r="BX41" i="31"/>
  <c r="CD41" i="31" s="1"/>
  <c r="CE41" i="31" s="1"/>
  <c r="BY41" i="31"/>
  <c r="BZ41" i="31"/>
  <c r="CA41" i="31"/>
  <c r="CB41" i="31"/>
  <c r="CC41" i="31"/>
  <c r="BW42" i="31"/>
  <c r="CC42" i="31" s="1"/>
  <c r="BX42" i="31"/>
  <c r="CD42" i="31" s="1"/>
  <c r="BY42" i="31"/>
  <c r="BZ42" i="31"/>
  <c r="CA42" i="31"/>
  <c r="CB42" i="31"/>
  <c r="BW43" i="31"/>
  <c r="CC43" i="31" s="1"/>
  <c r="BX43" i="31"/>
  <c r="CD43" i="31" s="1"/>
  <c r="CE43" i="31" s="1"/>
  <c r="BY43" i="31"/>
  <c r="BZ43" i="31"/>
  <c r="CA43" i="31"/>
  <c r="CB43" i="31" s="1"/>
  <c r="BW44" i="31"/>
  <c r="CC44" i="31" s="1"/>
  <c r="BX44" i="31"/>
  <c r="CD44" i="31" s="1"/>
  <c r="CE44" i="31" s="1"/>
  <c r="BY44" i="31"/>
  <c r="BZ44" i="31"/>
  <c r="CB44" i="31" s="1"/>
  <c r="CA44" i="31"/>
  <c r="BU44" i="31"/>
  <c r="BV44" i="31" s="1"/>
  <c r="BT44" i="31"/>
  <c r="BU43" i="31"/>
  <c r="BT43" i="31"/>
  <c r="BU42" i="31"/>
  <c r="BV42" i="31" s="1"/>
  <c r="BT42" i="31"/>
  <c r="BU41" i="31"/>
  <c r="BT41" i="31"/>
  <c r="BV41" i="31" s="1"/>
  <c r="BU40" i="31"/>
  <c r="BT40" i="31"/>
  <c r="BV39" i="31"/>
  <c r="BU39" i="31"/>
  <c r="BT39" i="31"/>
  <c r="BU38" i="31"/>
  <c r="BV38" i="31" s="1"/>
  <c r="BT38" i="31"/>
  <c r="BU37" i="31"/>
  <c r="BT37" i="31"/>
  <c r="BV37" i="31" s="1"/>
  <c r="BU36" i="31"/>
  <c r="BV36" i="31" s="1"/>
  <c r="BT36" i="31"/>
  <c r="BU35" i="31"/>
  <c r="BT35" i="31"/>
  <c r="BV34" i="31"/>
  <c r="BU34" i="31"/>
  <c r="BT34" i="31"/>
  <c r="BU33" i="31"/>
  <c r="BT33" i="31"/>
  <c r="BV33" i="31" s="1"/>
  <c r="BU32" i="31"/>
  <c r="BT32" i="31"/>
  <c r="BV31" i="31"/>
  <c r="BU31" i="31"/>
  <c r="BT31" i="31"/>
  <c r="BU30" i="31"/>
  <c r="BV30" i="31" s="1"/>
  <c r="BT30" i="31"/>
  <c r="BU29" i="31"/>
  <c r="BV29" i="31" s="1"/>
  <c r="BT29" i="31"/>
  <c r="BU28" i="31"/>
  <c r="BV28" i="31" s="1"/>
  <c r="BT28" i="31"/>
  <c r="BU27" i="31"/>
  <c r="BV27" i="31" s="1"/>
  <c r="BT27" i="31"/>
  <c r="BU26" i="31"/>
  <c r="BV26" i="31" s="1"/>
  <c r="BT26" i="31"/>
  <c r="BU25" i="31"/>
  <c r="BT25" i="31"/>
  <c r="BV25" i="31" s="1"/>
  <c r="BU24" i="31"/>
  <c r="BV24" i="31" s="1"/>
  <c r="BT24" i="31"/>
  <c r="BV23" i="31"/>
  <c r="BU23" i="31"/>
  <c r="BT23" i="31"/>
  <c r="BU22" i="31"/>
  <c r="BV22" i="31" s="1"/>
  <c r="BT22" i="31"/>
  <c r="BU21" i="31"/>
  <c r="BV21" i="31" s="1"/>
  <c r="BT21" i="31"/>
  <c r="BU20" i="31"/>
  <c r="BV20" i="31" s="1"/>
  <c r="BT20" i="31"/>
  <c r="BU19" i="31"/>
  <c r="BT19" i="31"/>
  <c r="BU18" i="31"/>
  <c r="BV18" i="31" s="1"/>
  <c r="BT18" i="31"/>
  <c r="BU17" i="31"/>
  <c r="BT17" i="31"/>
  <c r="BV17" i="31" s="1"/>
  <c r="BU16" i="31"/>
  <c r="BT16" i="31"/>
  <c r="BV15" i="31"/>
  <c r="BU15" i="31"/>
  <c r="BT15" i="31"/>
  <c r="BU14" i="31"/>
  <c r="BV14" i="31" s="1"/>
  <c r="BT14" i="31"/>
  <c r="BU13" i="31"/>
  <c r="BV13" i="31" s="1"/>
  <c r="BT13" i="31"/>
  <c r="BU12" i="31"/>
  <c r="BV12" i="31" s="1"/>
  <c r="BT12" i="31"/>
  <c r="BU11" i="31"/>
  <c r="BT11" i="31"/>
  <c r="BV10" i="31"/>
  <c r="BU10" i="31"/>
  <c r="BT10" i="31"/>
  <c r="BU9" i="31"/>
  <c r="BT9" i="31"/>
  <c r="BV9" i="31" s="1"/>
  <c r="BU8" i="31"/>
  <c r="BT8" i="31"/>
  <c r="BV7" i="31"/>
  <c r="BU7" i="31"/>
  <c r="BT7" i="31"/>
  <c r="BN44" i="31"/>
  <c r="BO44" i="31" s="1"/>
  <c r="BM44" i="31"/>
  <c r="BN43" i="31"/>
  <c r="BO43" i="31" s="1"/>
  <c r="BM43" i="31"/>
  <c r="BN42" i="31"/>
  <c r="BO42" i="31" s="1"/>
  <c r="BM42" i="31"/>
  <c r="BN41" i="31"/>
  <c r="BM41" i="31"/>
  <c r="BN40" i="31"/>
  <c r="BO40" i="31" s="1"/>
  <c r="BM40" i="31"/>
  <c r="BN39" i="31"/>
  <c r="BM39" i="31"/>
  <c r="BO39" i="31" s="1"/>
  <c r="BN38" i="31"/>
  <c r="BO38" i="31" s="1"/>
  <c r="BM38" i="31"/>
  <c r="BO37" i="31"/>
  <c r="BN37" i="31"/>
  <c r="BM37" i="31"/>
  <c r="BN36" i="31"/>
  <c r="BO36" i="31" s="1"/>
  <c r="BM36" i="31"/>
  <c r="BO35" i="31"/>
  <c r="BN35" i="31"/>
  <c r="BM35" i="31"/>
  <c r="BN34" i="31"/>
  <c r="BO34" i="31" s="1"/>
  <c r="BM34" i="31"/>
  <c r="BN33" i="31"/>
  <c r="BM33" i="31"/>
  <c r="BN32" i="31"/>
  <c r="BO32" i="31" s="1"/>
  <c r="BM32" i="31"/>
  <c r="BN31" i="31"/>
  <c r="BM31" i="31"/>
  <c r="BO31" i="31" s="1"/>
  <c r="BN30" i="31"/>
  <c r="BM30" i="31"/>
  <c r="BO29" i="31"/>
  <c r="BN29" i="31"/>
  <c r="BM29" i="31"/>
  <c r="BN28" i="31"/>
  <c r="BO28" i="31" s="1"/>
  <c r="BM28" i="31"/>
  <c r="BN27" i="31"/>
  <c r="BO27" i="31" s="1"/>
  <c r="BM27" i="31"/>
  <c r="BN26" i="31"/>
  <c r="BO26" i="31" s="1"/>
  <c r="BM26" i="31"/>
  <c r="BN25" i="31"/>
  <c r="BO25" i="31" s="1"/>
  <c r="BM25" i="31"/>
  <c r="BN24" i="31"/>
  <c r="BO24" i="31" s="1"/>
  <c r="BM24" i="31"/>
  <c r="BN23" i="31"/>
  <c r="BM23" i="31"/>
  <c r="BO23" i="31" s="1"/>
  <c r="BN22" i="31"/>
  <c r="BM22" i="31"/>
  <c r="BO21" i="31"/>
  <c r="BN21" i="31"/>
  <c r="BM21" i="31"/>
  <c r="BN20" i="31"/>
  <c r="BO20" i="31" s="1"/>
  <c r="BM20" i="31"/>
  <c r="BN19" i="31"/>
  <c r="BO19" i="31" s="1"/>
  <c r="BM19" i="31"/>
  <c r="BN18" i="31"/>
  <c r="BO18" i="31" s="1"/>
  <c r="BM18" i="31"/>
  <c r="BN17" i="31"/>
  <c r="BM17" i="31"/>
  <c r="BN16" i="31"/>
  <c r="BO16" i="31" s="1"/>
  <c r="BM16" i="31"/>
  <c r="BN15" i="31"/>
  <c r="BM15" i="31"/>
  <c r="BO15" i="31" s="1"/>
  <c r="BN14" i="31"/>
  <c r="BM14" i="31"/>
  <c r="BO13" i="31"/>
  <c r="BN13" i="31"/>
  <c r="BM13" i="31"/>
  <c r="BN12" i="31"/>
  <c r="BO12" i="31" s="1"/>
  <c r="BM12" i="31"/>
  <c r="BN11" i="31"/>
  <c r="BM11" i="31"/>
  <c r="BO11" i="31" s="1"/>
  <c r="BN10" i="31"/>
  <c r="BO10" i="31" s="1"/>
  <c r="BM10" i="31"/>
  <c r="BN9" i="31"/>
  <c r="BM9" i="31"/>
  <c r="BO8" i="31"/>
  <c r="BN8" i="31"/>
  <c r="BM8" i="31"/>
  <c r="BN7" i="31"/>
  <c r="BM7" i="31"/>
  <c r="BO7" i="31" s="1"/>
  <c r="BG44" i="31"/>
  <c r="BF44" i="31"/>
  <c r="BH43" i="31"/>
  <c r="BG43" i="31"/>
  <c r="BF43" i="31"/>
  <c r="BG42" i="31"/>
  <c r="BH42" i="31" s="1"/>
  <c r="BF42" i="31"/>
  <c r="BG41" i="31"/>
  <c r="BH41" i="31" s="1"/>
  <c r="BF41" i="31"/>
  <c r="BG40" i="31"/>
  <c r="BH40" i="31" s="1"/>
  <c r="BF40" i="31"/>
  <c r="BG39" i="31"/>
  <c r="BH39" i="31" s="1"/>
  <c r="BF39" i="31"/>
  <c r="BG38" i="31"/>
  <c r="BH38" i="31" s="1"/>
  <c r="BF38" i="31"/>
  <c r="BG37" i="31"/>
  <c r="BF37" i="31"/>
  <c r="BH37" i="31" s="1"/>
  <c r="BG36" i="31"/>
  <c r="BH36" i="31" s="1"/>
  <c r="BF36" i="31"/>
  <c r="BH35" i="31"/>
  <c r="BG35" i="31"/>
  <c r="BF35" i="31"/>
  <c r="BG34" i="31"/>
  <c r="BH34" i="31" s="1"/>
  <c r="BF34" i="31"/>
  <c r="BG33" i="31"/>
  <c r="BH33" i="31" s="1"/>
  <c r="BF33" i="31"/>
  <c r="BG32" i="31"/>
  <c r="BH32" i="31" s="1"/>
  <c r="BF32" i="31"/>
  <c r="BG31" i="31"/>
  <c r="BF31" i="31"/>
  <c r="BG30" i="31"/>
  <c r="BH30" i="31" s="1"/>
  <c r="BF30" i="31"/>
  <c r="BG29" i="31"/>
  <c r="BF29" i="31"/>
  <c r="BH29" i="31" s="1"/>
  <c r="BG28" i="31"/>
  <c r="BF28" i="31"/>
  <c r="BH27" i="31"/>
  <c r="BG27" i="31"/>
  <c r="BF27" i="31"/>
  <c r="BG26" i="31"/>
  <c r="BH26" i="31" s="1"/>
  <c r="BF26" i="31"/>
  <c r="BG25" i="31"/>
  <c r="BH25" i="31" s="1"/>
  <c r="BF25" i="31"/>
  <c r="BG24" i="31"/>
  <c r="BH24" i="31" s="1"/>
  <c r="BF24" i="31"/>
  <c r="BG23" i="31"/>
  <c r="BF23" i="31"/>
  <c r="BH22" i="31"/>
  <c r="BG22" i="31"/>
  <c r="BF22" i="31"/>
  <c r="BG21" i="31"/>
  <c r="BF21" i="31"/>
  <c r="BH21" i="31" s="1"/>
  <c r="BG20" i="31"/>
  <c r="BF20" i="31"/>
  <c r="BH19" i="31"/>
  <c r="BG19" i="31"/>
  <c r="BF19" i="31"/>
  <c r="BG18" i="31"/>
  <c r="BH18" i="31" s="1"/>
  <c r="BF18" i="31"/>
  <c r="BG17" i="31"/>
  <c r="BH17" i="31" s="1"/>
  <c r="BF17" i="31"/>
  <c r="BG16" i="31"/>
  <c r="BH16" i="31" s="1"/>
  <c r="BF16" i="31"/>
  <c r="BG15" i="31"/>
  <c r="BF15" i="31"/>
  <c r="BG14" i="31"/>
  <c r="BH14" i="31" s="1"/>
  <c r="BF14" i="31"/>
  <c r="BG13" i="31"/>
  <c r="BF13" i="31"/>
  <c r="BH13" i="31" s="1"/>
  <c r="BG12" i="31"/>
  <c r="BH12" i="31" s="1"/>
  <c r="BF12" i="31"/>
  <c r="BH11" i="31"/>
  <c r="BG11" i="31"/>
  <c r="BF11" i="31"/>
  <c r="BG10" i="31"/>
  <c r="BH10" i="31" s="1"/>
  <c r="BF10" i="31"/>
  <c r="BH9" i="31"/>
  <c r="BG9" i="31"/>
  <c r="BF9" i="31"/>
  <c r="BG8" i="31"/>
  <c r="BH8" i="31" s="1"/>
  <c r="BF8" i="31"/>
  <c r="BG7" i="31"/>
  <c r="BF7" i="31"/>
  <c r="AZ44" i="31"/>
  <c r="BA44" i="31" s="1"/>
  <c r="AY44" i="31"/>
  <c r="AZ43" i="31"/>
  <c r="AY43" i="31"/>
  <c r="BA43" i="31" s="1"/>
  <c r="AZ42" i="31"/>
  <c r="AY42" i="31"/>
  <c r="BA41" i="31"/>
  <c r="AZ41" i="31"/>
  <c r="AY41" i="31"/>
  <c r="AZ40" i="31"/>
  <c r="BA40" i="31" s="1"/>
  <c r="AY40" i="31"/>
  <c r="AZ39" i="31"/>
  <c r="BA39" i="31" s="1"/>
  <c r="AY39" i="31"/>
  <c r="AZ38" i="31"/>
  <c r="BA38" i="31" s="1"/>
  <c r="AY38" i="31"/>
  <c r="AZ37" i="31"/>
  <c r="BA37" i="31" s="1"/>
  <c r="AY37" i="31"/>
  <c r="AZ36" i="31"/>
  <c r="BA36" i="31" s="1"/>
  <c r="AY36" i="31"/>
  <c r="AZ35" i="31"/>
  <c r="AY35" i="31"/>
  <c r="BA35" i="31" s="1"/>
  <c r="AZ34" i="31"/>
  <c r="AY34" i="31"/>
  <c r="BA33" i="31"/>
  <c r="AZ33" i="31"/>
  <c r="AY33" i="31"/>
  <c r="AZ32" i="31"/>
  <c r="BA32" i="31" s="1"/>
  <c r="AY32" i="31"/>
  <c r="AZ31" i="31"/>
  <c r="BA31" i="31" s="1"/>
  <c r="AY31" i="31"/>
  <c r="AZ30" i="31"/>
  <c r="BA30" i="31" s="1"/>
  <c r="AY30" i="31"/>
  <c r="AZ29" i="31"/>
  <c r="AY29" i="31"/>
  <c r="AZ28" i="31"/>
  <c r="BA28" i="31" s="1"/>
  <c r="AY28" i="31"/>
  <c r="AZ27" i="31"/>
  <c r="AY27" i="31"/>
  <c r="BA27" i="31" s="1"/>
  <c r="AZ26" i="31"/>
  <c r="AY26" i="31"/>
  <c r="BA25" i="31"/>
  <c r="AZ25" i="31"/>
  <c r="AY25" i="31"/>
  <c r="AZ24" i="31"/>
  <c r="BA24" i="31" s="1"/>
  <c r="AY24" i="31"/>
  <c r="AZ23" i="31"/>
  <c r="AY23" i="31"/>
  <c r="BA23" i="31" s="1"/>
  <c r="AZ22" i="31"/>
  <c r="BA22" i="31" s="1"/>
  <c r="AY22" i="31"/>
  <c r="AZ21" i="31"/>
  <c r="AY21" i="31"/>
  <c r="BA20" i="31"/>
  <c r="AZ20" i="31"/>
  <c r="AY20" i="31"/>
  <c r="AZ19" i="31"/>
  <c r="AY19" i="31"/>
  <c r="BA19" i="31" s="1"/>
  <c r="AZ18" i="31"/>
  <c r="AY18" i="31"/>
  <c r="BA17" i="31"/>
  <c r="AZ17" i="31"/>
  <c r="AY17" i="31"/>
  <c r="AZ16" i="31"/>
  <c r="AY16" i="31"/>
  <c r="AZ15" i="31"/>
  <c r="BA15" i="31" s="1"/>
  <c r="AY15" i="31"/>
  <c r="AZ14" i="31"/>
  <c r="BA14" i="31" s="1"/>
  <c r="AY14" i="31"/>
  <c r="AZ13" i="31"/>
  <c r="BA13" i="31" s="1"/>
  <c r="AY13" i="31"/>
  <c r="AZ12" i="31"/>
  <c r="BA12" i="31" s="1"/>
  <c r="AY12" i="31"/>
  <c r="AZ11" i="31"/>
  <c r="AY11" i="31"/>
  <c r="BA11" i="31" s="1"/>
  <c r="BA10" i="31"/>
  <c r="AZ10" i="31"/>
  <c r="AY10" i="31"/>
  <c r="BA9" i="31"/>
  <c r="AZ9" i="31"/>
  <c r="AY9" i="31"/>
  <c r="AZ8" i="31"/>
  <c r="AY8" i="31"/>
  <c r="BA7" i="31"/>
  <c r="AZ7" i="31"/>
  <c r="AY7" i="31"/>
  <c r="AS44" i="31"/>
  <c r="AT44" i="31" s="1"/>
  <c r="AR44" i="31"/>
  <c r="AS43" i="31"/>
  <c r="AR43" i="31"/>
  <c r="AS42" i="31"/>
  <c r="AT42" i="31" s="1"/>
  <c r="AR42" i="31"/>
  <c r="AS41" i="31"/>
  <c r="AR41" i="31"/>
  <c r="AT41" i="31" s="1"/>
  <c r="AS40" i="31"/>
  <c r="AT40" i="31" s="1"/>
  <c r="AR40" i="31"/>
  <c r="AT39" i="31"/>
  <c r="AS39" i="31"/>
  <c r="AR39" i="31"/>
  <c r="AS38" i="31"/>
  <c r="AR38" i="31"/>
  <c r="AS37" i="31"/>
  <c r="AT37" i="31" s="1"/>
  <c r="AR37" i="31"/>
  <c r="AS36" i="31"/>
  <c r="AT36" i="31" s="1"/>
  <c r="AR36" i="31"/>
  <c r="AS35" i="31"/>
  <c r="AT35" i="31" s="1"/>
  <c r="AR35" i="31"/>
  <c r="AS34" i="31"/>
  <c r="AT34" i="31" s="1"/>
  <c r="AR34" i="31"/>
  <c r="AS33" i="31"/>
  <c r="AR33" i="31"/>
  <c r="AT33" i="31" s="1"/>
  <c r="AT32" i="31"/>
  <c r="AS32" i="31"/>
  <c r="AR32" i="31"/>
  <c r="AT31" i="31"/>
  <c r="AS31" i="31"/>
  <c r="AR31" i="31"/>
  <c r="AS30" i="31"/>
  <c r="AR30" i="31"/>
  <c r="AT29" i="31"/>
  <c r="AS29" i="31"/>
  <c r="AR29" i="31"/>
  <c r="AS28" i="31"/>
  <c r="AT28" i="31" s="1"/>
  <c r="AR28" i="31"/>
  <c r="AS27" i="31"/>
  <c r="AR27" i="31"/>
  <c r="AS26" i="31"/>
  <c r="AT26" i="31" s="1"/>
  <c r="AR26" i="31"/>
  <c r="AS25" i="31"/>
  <c r="AR25" i="31"/>
  <c r="AT25" i="31" s="1"/>
  <c r="AS24" i="31"/>
  <c r="AT24" i="31" s="1"/>
  <c r="AR24" i="31"/>
  <c r="AT23" i="31"/>
  <c r="AS23" i="31"/>
  <c r="AR23" i="31"/>
  <c r="AS22" i="31"/>
  <c r="AR22" i="31"/>
  <c r="AS21" i="31"/>
  <c r="AT21" i="31" s="1"/>
  <c r="AR21" i="31"/>
  <c r="AS20" i="31"/>
  <c r="AT20" i="31" s="1"/>
  <c r="AR20" i="31"/>
  <c r="AS19" i="31"/>
  <c r="AT19" i="31" s="1"/>
  <c r="AR19" i="31"/>
  <c r="AS18" i="31"/>
  <c r="AT18" i="31" s="1"/>
  <c r="AR18" i="31"/>
  <c r="AS17" i="31"/>
  <c r="AR17" i="31"/>
  <c r="AT17" i="31" s="1"/>
  <c r="AT16" i="31"/>
  <c r="AS16" i="31"/>
  <c r="AR16" i="31"/>
  <c r="AT15" i="31"/>
  <c r="AS15" i="31"/>
  <c r="AR15" i="31"/>
  <c r="AS14" i="31"/>
  <c r="AR14" i="31"/>
  <c r="AT13" i="31"/>
  <c r="AS13" i="31"/>
  <c r="AR13" i="31"/>
  <c r="AS12" i="31"/>
  <c r="AT12" i="31" s="1"/>
  <c r="AR12" i="31"/>
  <c r="AS11" i="31"/>
  <c r="AR11" i="31"/>
  <c r="AS10" i="31"/>
  <c r="AT10" i="31" s="1"/>
  <c r="AR10" i="31"/>
  <c r="AS9" i="31"/>
  <c r="AR9" i="31"/>
  <c r="AT9" i="31" s="1"/>
  <c r="AS8" i="31"/>
  <c r="AT8" i="31" s="1"/>
  <c r="AR8" i="31"/>
  <c r="AT7" i="31"/>
  <c r="AS7" i="31"/>
  <c r="AR7" i="31"/>
  <c r="AL44" i="31"/>
  <c r="AK44" i="31"/>
  <c r="AL43" i="31"/>
  <c r="AM43" i="31" s="1"/>
  <c r="AK43" i="31"/>
  <c r="AL42" i="31"/>
  <c r="AM42" i="31" s="1"/>
  <c r="AK42" i="31"/>
  <c r="AL41" i="31"/>
  <c r="AM41" i="31" s="1"/>
  <c r="AK41" i="31"/>
  <c r="AL40" i="31"/>
  <c r="AM40" i="31" s="1"/>
  <c r="AK40" i="31"/>
  <c r="AL39" i="31"/>
  <c r="AK39" i="31"/>
  <c r="AM39" i="31" s="1"/>
  <c r="AM38" i="31"/>
  <c r="AL38" i="31"/>
  <c r="AK38" i="31"/>
  <c r="AM37" i="31"/>
  <c r="AL37" i="31"/>
  <c r="AK37" i="31"/>
  <c r="AL36" i="31"/>
  <c r="AK36" i="31"/>
  <c r="AM35" i="31"/>
  <c r="AL35" i="31"/>
  <c r="AK35" i="31"/>
  <c r="AL34" i="31"/>
  <c r="AM34" i="31" s="1"/>
  <c r="AK34" i="31"/>
  <c r="AL33" i="31"/>
  <c r="AK33" i="31"/>
  <c r="AL32" i="31"/>
  <c r="AM32" i="31" s="1"/>
  <c r="AK32" i="31"/>
  <c r="AL31" i="31"/>
  <c r="AK31" i="31"/>
  <c r="AM31" i="31" s="1"/>
  <c r="AL30" i="31"/>
  <c r="AM30" i="31" s="1"/>
  <c r="AK30" i="31"/>
  <c r="AM29" i="31"/>
  <c r="AL29" i="31"/>
  <c r="AK29" i="31"/>
  <c r="AL28" i="31"/>
  <c r="AK28" i="31"/>
  <c r="AL27" i="31"/>
  <c r="AM27" i="31" s="1"/>
  <c r="AK27" i="31"/>
  <c r="AL26" i="31"/>
  <c r="AM26" i="31" s="1"/>
  <c r="AK26" i="31"/>
  <c r="AL25" i="31"/>
  <c r="AM25" i="31" s="1"/>
  <c r="AK25" i="31"/>
  <c r="AL24" i="31"/>
  <c r="AM24" i="31" s="1"/>
  <c r="AK24" i="31"/>
  <c r="AL23" i="31"/>
  <c r="AK23" i="31"/>
  <c r="AM23" i="31" s="1"/>
  <c r="AM22" i="31"/>
  <c r="AL22" i="31"/>
  <c r="AK22" i="31"/>
  <c r="AM21" i="31"/>
  <c r="AL21" i="31"/>
  <c r="AK21" i="31"/>
  <c r="AL20" i="31"/>
  <c r="AK20" i="31"/>
  <c r="AM19" i="31"/>
  <c r="AL19" i="31"/>
  <c r="AK19" i="31"/>
  <c r="AL18" i="31"/>
  <c r="AM18" i="31" s="1"/>
  <c r="AK18" i="31"/>
  <c r="AL17" i="31"/>
  <c r="AK17" i="31"/>
  <c r="AL16" i="31"/>
  <c r="AM16" i="31" s="1"/>
  <c r="AK16" i="31"/>
  <c r="AL15" i="31"/>
  <c r="AK15" i="31"/>
  <c r="AM15" i="31" s="1"/>
  <c r="AL14" i="31"/>
  <c r="AM14" i="31" s="1"/>
  <c r="AK14" i="31"/>
  <c r="AM13" i="31"/>
  <c r="AL13" i="31"/>
  <c r="AK13" i="31"/>
  <c r="AL12" i="31"/>
  <c r="AK12" i="31"/>
  <c r="AL11" i="31"/>
  <c r="AM11" i="31" s="1"/>
  <c r="AK11" i="31"/>
  <c r="AL10" i="31"/>
  <c r="AM10" i="31" s="1"/>
  <c r="AK10" i="31"/>
  <c r="AL9" i="31"/>
  <c r="AM9" i="31" s="1"/>
  <c r="AK9" i="31"/>
  <c r="AL8" i="31"/>
  <c r="AM8" i="31" s="1"/>
  <c r="AK8" i="31"/>
  <c r="AL7" i="31"/>
  <c r="AK7" i="31"/>
  <c r="AM7" i="31" s="1"/>
  <c r="AF44" i="31"/>
  <c r="AE44" i="31"/>
  <c r="AD44" i="31"/>
  <c r="AF43" i="31"/>
  <c r="AE43" i="31"/>
  <c r="AD43" i="31"/>
  <c r="AE42" i="31"/>
  <c r="AD42" i="31"/>
  <c r="AF41" i="31"/>
  <c r="AE41" i="31"/>
  <c r="AD41" i="31"/>
  <c r="AE40" i="31"/>
  <c r="AF40" i="31" s="1"/>
  <c r="AD40" i="31"/>
  <c r="AE39" i="31"/>
  <c r="AD39" i="31"/>
  <c r="AE38" i="31"/>
  <c r="AF38" i="31" s="1"/>
  <c r="AD38" i="31"/>
  <c r="AE37" i="31"/>
  <c r="AD37" i="31"/>
  <c r="AF37" i="31" s="1"/>
  <c r="AE36" i="31"/>
  <c r="AF36" i="31" s="1"/>
  <c r="AD36" i="31"/>
  <c r="AF35" i="31"/>
  <c r="AE35" i="31"/>
  <c r="AD35" i="31"/>
  <c r="AE34" i="31"/>
  <c r="AD34" i="31"/>
  <c r="AE33" i="31"/>
  <c r="AF33" i="31" s="1"/>
  <c r="AD33" i="31"/>
  <c r="AE32" i="31"/>
  <c r="AF32" i="31" s="1"/>
  <c r="AD32" i="31"/>
  <c r="AE31" i="31"/>
  <c r="AF31" i="31" s="1"/>
  <c r="AD31" i="31"/>
  <c r="AE30" i="31"/>
  <c r="AF30" i="31" s="1"/>
  <c r="AD30" i="31"/>
  <c r="AE29" i="31"/>
  <c r="AD29" i="31"/>
  <c r="AF29" i="31" s="1"/>
  <c r="AF28" i="31"/>
  <c r="AE28" i="31"/>
  <c r="AD28" i="31"/>
  <c r="AF27" i="31"/>
  <c r="AE27" i="31"/>
  <c r="AD27" i="31"/>
  <c r="AE26" i="31"/>
  <c r="AD26" i="31"/>
  <c r="AF25" i="31"/>
  <c r="AE25" i="31"/>
  <c r="AD25" i="31"/>
  <c r="AE24" i="31"/>
  <c r="AF24" i="31" s="1"/>
  <c r="AD24" i="31"/>
  <c r="AE23" i="31"/>
  <c r="AD23" i="31"/>
  <c r="AE22" i="31"/>
  <c r="AF22" i="31" s="1"/>
  <c r="AD22" i="31"/>
  <c r="AE21" i="31"/>
  <c r="AD21" i="31"/>
  <c r="AF21" i="31" s="1"/>
  <c r="AE20" i="31"/>
  <c r="AF20" i="31" s="1"/>
  <c r="AD20" i="31"/>
  <c r="AF19" i="31"/>
  <c r="AE19" i="31"/>
  <c r="AD19" i="31"/>
  <c r="AE18" i="31"/>
  <c r="AD18" i="31"/>
  <c r="AE17" i="31"/>
  <c r="AF17" i="31" s="1"/>
  <c r="AD17" i="31"/>
  <c r="AE16" i="31"/>
  <c r="AF16" i="31" s="1"/>
  <c r="AD16" i="31"/>
  <c r="AE15" i="31"/>
  <c r="AF15" i="31" s="1"/>
  <c r="AD15" i="31"/>
  <c r="AE14" i="31"/>
  <c r="AF14" i="31" s="1"/>
  <c r="AD14" i="31"/>
  <c r="AE13" i="31"/>
  <c r="AD13" i="31"/>
  <c r="AF13" i="31" s="1"/>
  <c r="AF12" i="31"/>
  <c r="AE12" i="31"/>
  <c r="AD12" i="31"/>
  <c r="AF11" i="31"/>
  <c r="AE11" i="31"/>
  <c r="AD11" i="31"/>
  <c r="AE10" i="31"/>
  <c r="AD10" i="31"/>
  <c r="AF9" i="31"/>
  <c r="AE9" i="31"/>
  <c r="AD9" i="31"/>
  <c r="AE8" i="31"/>
  <c r="AF8" i="31" s="1"/>
  <c r="AD8" i="31"/>
  <c r="AE7" i="31"/>
  <c r="AD7" i="31"/>
  <c r="X44" i="31"/>
  <c r="Y44" i="31" s="1"/>
  <c r="W44" i="31"/>
  <c r="X43" i="31"/>
  <c r="W43" i="31"/>
  <c r="Y43" i="31" s="1"/>
  <c r="X42" i="31"/>
  <c r="Y42" i="31" s="1"/>
  <c r="W42" i="31"/>
  <c r="Y41" i="31"/>
  <c r="X41" i="31"/>
  <c r="W41" i="31"/>
  <c r="X40" i="31"/>
  <c r="W40" i="31"/>
  <c r="X39" i="31"/>
  <c r="Y39" i="31" s="1"/>
  <c r="W39" i="31"/>
  <c r="X38" i="31"/>
  <c r="Y38" i="31" s="1"/>
  <c r="W38" i="31"/>
  <c r="X37" i="31"/>
  <c r="Y37" i="31" s="1"/>
  <c r="W37" i="31"/>
  <c r="X36" i="31"/>
  <c r="Y36" i="31" s="1"/>
  <c r="W36" i="31"/>
  <c r="X35" i="31"/>
  <c r="W35" i="31"/>
  <c r="Y35" i="31" s="1"/>
  <c r="Y34" i="31"/>
  <c r="X34" i="31"/>
  <c r="W34" i="31"/>
  <c r="Y33" i="31"/>
  <c r="X33" i="31"/>
  <c r="W33" i="31"/>
  <c r="X32" i="31"/>
  <c r="W32" i="31"/>
  <c r="Y31" i="31"/>
  <c r="X31" i="31"/>
  <c r="W31" i="31"/>
  <c r="X30" i="31"/>
  <c r="Y30" i="31" s="1"/>
  <c r="W30" i="31"/>
  <c r="X29" i="31"/>
  <c r="W29" i="31"/>
  <c r="X28" i="31"/>
  <c r="Y28" i="31" s="1"/>
  <c r="W28" i="31"/>
  <c r="X27" i="31"/>
  <c r="W27" i="31"/>
  <c r="Y27" i="31" s="1"/>
  <c r="X26" i="31"/>
  <c r="Y26" i="31" s="1"/>
  <c r="W26" i="31"/>
  <c r="Y25" i="31"/>
  <c r="X25" i="31"/>
  <c r="W25" i="31"/>
  <c r="X24" i="31"/>
  <c r="W24" i="31"/>
  <c r="X23" i="31"/>
  <c r="Y23" i="31" s="1"/>
  <c r="W23" i="31"/>
  <c r="X22" i="31"/>
  <c r="Y22" i="31" s="1"/>
  <c r="W22" i="31"/>
  <c r="X21" i="31"/>
  <c r="Y21" i="31" s="1"/>
  <c r="W21" i="31"/>
  <c r="X20" i="31"/>
  <c r="Y20" i="31" s="1"/>
  <c r="W20" i="31"/>
  <c r="X19" i="31"/>
  <c r="W19" i="31"/>
  <c r="Y19" i="31" s="1"/>
  <c r="Y18" i="31"/>
  <c r="X18" i="31"/>
  <c r="W18" i="31"/>
  <c r="Y17" i="31"/>
  <c r="X17" i="31"/>
  <c r="W17" i="31"/>
  <c r="X16" i="31"/>
  <c r="W16" i="31"/>
  <c r="Y15" i="31"/>
  <c r="X15" i="31"/>
  <c r="W15" i="31"/>
  <c r="X14" i="31"/>
  <c r="Y14" i="31" s="1"/>
  <c r="W14" i="31"/>
  <c r="X13" i="31"/>
  <c r="W13" i="31"/>
  <c r="X12" i="31"/>
  <c r="Y12" i="31" s="1"/>
  <c r="W12" i="31"/>
  <c r="X11" i="31"/>
  <c r="W11" i="31"/>
  <c r="Y11" i="31" s="1"/>
  <c r="X10" i="31"/>
  <c r="Y10" i="31" s="1"/>
  <c r="W10" i="31"/>
  <c r="Y9" i="31"/>
  <c r="X9" i="31"/>
  <c r="W9" i="31"/>
  <c r="X8" i="31"/>
  <c r="W8" i="31"/>
  <c r="X7" i="31"/>
  <c r="Y7" i="31" s="1"/>
  <c r="W7" i="31"/>
  <c r="Q44" i="31"/>
  <c r="R44" i="31" s="1"/>
  <c r="P44" i="31"/>
  <c r="Q43" i="31"/>
  <c r="R43" i="31" s="1"/>
  <c r="P43" i="31"/>
  <c r="Q42" i="31"/>
  <c r="R42" i="31" s="1"/>
  <c r="P42" i="31"/>
  <c r="Q41" i="31"/>
  <c r="P41" i="31"/>
  <c r="R41" i="31" s="1"/>
  <c r="R40" i="31"/>
  <c r="Q40" i="31"/>
  <c r="P40" i="31"/>
  <c r="R39" i="31"/>
  <c r="Q39" i="31"/>
  <c r="P39" i="31"/>
  <c r="Q38" i="31"/>
  <c r="P38" i="31"/>
  <c r="R37" i="31"/>
  <c r="Q37" i="31"/>
  <c r="P37" i="31"/>
  <c r="Q36" i="31"/>
  <c r="R36" i="31" s="1"/>
  <c r="P36" i="31"/>
  <c r="Q35" i="31"/>
  <c r="P35" i="31"/>
  <c r="Q34" i="31"/>
  <c r="R34" i="31" s="1"/>
  <c r="P34" i="31"/>
  <c r="Q33" i="31"/>
  <c r="P33" i="31"/>
  <c r="R33" i="31" s="1"/>
  <c r="Q32" i="31"/>
  <c r="R32" i="31" s="1"/>
  <c r="P32" i="31"/>
  <c r="R31" i="31"/>
  <c r="Q31" i="31"/>
  <c r="P31" i="31"/>
  <c r="Q30" i="31"/>
  <c r="P30" i="31"/>
  <c r="Q29" i="31"/>
  <c r="R29" i="31" s="1"/>
  <c r="P29" i="31"/>
  <c r="Q28" i="31"/>
  <c r="R28" i="31" s="1"/>
  <c r="P28" i="31"/>
  <c r="Q27" i="31"/>
  <c r="R27" i="31" s="1"/>
  <c r="P27" i="31"/>
  <c r="Q26" i="31"/>
  <c r="R26" i="31" s="1"/>
  <c r="P26" i="31"/>
  <c r="Q25" i="31"/>
  <c r="P25" i="31"/>
  <c r="R25" i="31" s="1"/>
  <c r="R24" i="31"/>
  <c r="Q24" i="31"/>
  <c r="P24" i="31"/>
  <c r="R23" i="31"/>
  <c r="Q23" i="31"/>
  <c r="P23" i="31"/>
  <c r="Q22" i="31"/>
  <c r="P22" i="31"/>
  <c r="R21" i="31"/>
  <c r="Q21" i="31"/>
  <c r="P21" i="31"/>
  <c r="Q20" i="31"/>
  <c r="R20" i="31" s="1"/>
  <c r="P20" i="31"/>
  <c r="Q19" i="31"/>
  <c r="P19" i="31"/>
  <c r="Q18" i="31"/>
  <c r="R18" i="31" s="1"/>
  <c r="P18" i="31"/>
  <c r="Q17" i="31"/>
  <c r="P17" i="31"/>
  <c r="R17" i="31" s="1"/>
  <c r="Q16" i="31"/>
  <c r="R16" i="31" s="1"/>
  <c r="P16" i="31"/>
  <c r="R15" i="31"/>
  <c r="Q15" i="31"/>
  <c r="P15" i="31"/>
  <c r="Q14" i="31"/>
  <c r="P14" i="31"/>
  <c r="Q13" i="31"/>
  <c r="R13" i="31" s="1"/>
  <c r="P13" i="31"/>
  <c r="Q12" i="31"/>
  <c r="R12" i="31" s="1"/>
  <c r="P12" i="31"/>
  <c r="Q11" i="31"/>
  <c r="R11" i="31" s="1"/>
  <c r="P11" i="31"/>
  <c r="Q10" i="31"/>
  <c r="R10" i="31" s="1"/>
  <c r="P10" i="31"/>
  <c r="Q9" i="31"/>
  <c r="P9" i="31"/>
  <c r="R9" i="31" s="1"/>
  <c r="R8" i="31"/>
  <c r="Q8" i="31"/>
  <c r="P8" i="31"/>
  <c r="R7" i="31"/>
  <c r="Q7" i="31"/>
  <c r="P7" i="31"/>
  <c r="I8" i="31"/>
  <c r="J8" i="31"/>
  <c r="K8" i="31"/>
  <c r="I9" i="31"/>
  <c r="J9" i="31"/>
  <c r="K9" i="31"/>
  <c r="I10" i="31"/>
  <c r="J10" i="31"/>
  <c r="K10" i="31" s="1"/>
  <c r="I11" i="31"/>
  <c r="J11" i="31"/>
  <c r="K11" i="31"/>
  <c r="I12" i="31"/>
  <c r="J12" i="31"/>
  <c r="K12" i="31"/>
  <c r="I13" i="31"/>
  <c r="J13" i="31"/>
  <c r="K13" i="31" s="1"/>
  <c r="I14" i="31"/>
  <c r="J14" i="31"/>
  <c r="K14" i="31"/>
  <c r="I15" i="31"/>
  <c r="J15" i="31"/>
  <c r="K15" i="31"/>
  <c r="I16" i="31"/>
  <c r="J16" i="31"/>
  <c r="K16" i="31"/>
  <c r="I17" i="31"/>
  <c r="J17" i="31"/>
  <c r="K17" i="31"/>
  <c r="I18" i="31"/>
  <c r="J18" i="31"/>
  <c r="K18" i="31" s="1"/>
  <c r="I19" i="31"/>
  <c r="J19" i="31"/>
  <c r="K19" i="31"/>
  <c r="I20" i="31"/>
  <c r="J20" i="31"/>
  <c r="K20" i="31"/>
  <c r="I21" i="31"/>
  <c r="J21" i="31"/>
  <c r="K21" i="31" s="1"/>
  <c r="I22" i="31"/>
  <c r="J22" i="31"/>
  <c r="K22" i="31"/>
  <c r="I23" i="31"/>
  <c r="J23" i="31"/>
  <c r="K23" i="31"/>
  <c r="I24" i="31"/>
  <c r="J24" i="31"/>
  <c r="K24" i="31"/>
  <c r="I25" i="31"/>
  <c r="J25" i="31"/>
  <c r="K25" i="31"/>
  <c r="I26" i="31"/>
  <c r="J26" i="31"/>
  <c r="K26" i="31" s="1"/>
  <c r="I27" i="31"/>
  <c r="J27" i="31"/>
  <c r="K27" i="31"/>
  <c r="I28" i="31"/>
  <c r="J28" i="31"/>
  <c r="K28" i="31"/>
  <c r="I29" i="31"/>
  <c r="J29" i="31"/>
  <c r="K29" i="31" s="1"/>
  <c r="I30" i="31"/>
  <c r="J30" i="31"/>
  <c r="K30" i="31"/>
  <c r="I31" i="31"/>
  <c r="J31" i="31"/>
  <c r="K31" i="31"/>
  <c r="I32" i="31"/>
  <c r="J32" i="31"/>
  <c r="K32" i="31"/>
  <c r="I33" i="31"/>
  <c r="J33" i="31"/>
  <c r="K33" i="31"/>
  <c r="I34" i="31"/>
  <c r="J34" i="31"/>
  <c r="K34" i="31" s="1"/>
  <c r="I35" i="31"/>
  <c r="J35" i="31"/>
  <c r="K35" i="31"/>
  <c r="I36" i="31"/>
  <c r="J36" i="31"/>
  <c r="K36" i="31"/>
  <c r="I37" i="31"/>
  <c r="K37" i="31" s="1"/>
  <c r="J37" i="31"/>
  <c r="I38" i="31"/>
  <c r="J38" i="31"/>
  <c r="K38" i="31"/>
  <c r="I39" i="31"/>
  <c r="J39" i="31"/>
  <c r="K39" i="31"/>
  <c r="I40" i="31"/>
  <c r="J40" i="31"/>
  <c r="K40" i="31"/>
  <c r="I41" i="31"/>
  <c r="J41" i="31"/>
  <c r="K41" i="31"/>
  <c r="I42" i="31"/>
  <c r="J42" i="31"/>
  <c r="K42" i="31" s="1"/>
  <c r="I43" i="31"/>
  <c r="J43" i="31"/>
  <c r="K43" i="31"/>
  <c r="I44" i="31"/>
  <c r="J44" i="31"/>
  <c r="K44" i="31"/>
  <c r="CD51" i="31"/>
  <c r="CE51" i="31" s="1"/>
  <c r="CC51" i="31"/>
  <c r="CA51" i="31"/>
  <c r="CB51" i="31" s="1"/>
  <c r="BZ51" i="31"/>
  <c r="BX51" i="31"/>
  <c r="BY51" i="31" s="1"/>
  <c r="BW51" i="31"/>
  <c r="K51" i="31"/>
  <c r="J51" i="31"/>
  <c r="I51" i="31"/>
  <c r="CQ36" i="31"/>
  <c r="CN36" i="31"/>
  <c r="CK36" i="31"/>
  <c r="CH36" i="31"/>
  <c r="CE86" i="31" l="1"/>
  <c r="CE81" i="31"/>
  <c r="CE78" i="31"/>
  <c r="CE73" i="31"/>
  <c r="CE70" i="31"/>
  <c r="CE65" i="31"/>
  <c r="CE62" i="31"/>
  <c r="CE57" i="31"/>
  <c r="CE54" i="31"/>
  <c r="CD82" i="31"/>
  <c r="CE82" i="31" s="1"/>
  <c r="CC75" i="31"/>
  <c r="CE75" i="31" s="1"/>
  <c r="BY67" i="31"/>
  <c r="CD74" i="31"/>
  <c r="CE74" i="31" s="1"/>
  <c r="CD66" i="31"/>
  <c r="CE66" i="31" s="1"/>
  <c r="CD58" i="31"/>
  <c r="CE58" i="31" s="1"/>
  <c r="Y70" i="31"/>
  <c r="AT72" i="31"/>
  <c r="BH57" i="31"/>
  <c r="Y87" i="31"/>
  <c r="AF53" i="31"/>
  <c r="AF70" i="31"/>
  <c r="AT52" i="31"/>
  <c r="BO54" i="31"/>
  <c r="AF84" i="31"/>
  <c r="AT69" i="31"/>
  <c r="AT73" i="31"/>
  <c r="BA52" i="31"/>
  <c r="R61" i="31"/>
  <c r="R65" i="31"/>
  <c r="R82" i="31"/>
  <c r="BA66" i="31"/>
  <c r="BO51" i="31"/>
  <c r="BO55" i="31"/>
  <c r="R79" i="31"/>
  <c r="AF85" i="31"/>
  <c r="AM64" i="31"/>
  <c r="AT84" i="31"/>
  <c r="BV66" i="31"/>
  <c r="R76" i="31"/>
  <c r="BA84" i="31"/>
  <c r="BO66" i="31"/>
  <c r="BV63" i="31"/>
  <c r="BV80" i="31"/>
  <c r="AT55" i="31"/>
  <c r="BH61" i="31"/>
  <c r="BH78" i="31"/>
  <c r="R53" i="31"/>
  <c r="R64" i="31"/>
  <c r="BH75" i="31"/>
  <c r="AF67" i="31"/>
  <c r="BH72" i="31"/>
  <c r="AF64" i="31"/>
  <c r="AT87" i="31"/>
  <c r="BO72" i="31"/>
  <c r="Y58" i="31"/>
  <c r="AF81" i="31"/>
  <c r="BO69" i="31"/>
  <c r="BO86" i="31"/>
  <c r="AM61" i="31"/>
  <c r="AM78" i="31"/>
  <c r="BA63" i="31"/>
  <c r="BA67" i="31"/>
  <c r="Y55" i="31"/>
  <c r="Y59" i="31"/>
  <c r="Y76" i="31"/>
  <c r="AM58" i="31"/>
  <c r="BA81" i="31"/>
  <c r="BH60" i="31"/>
  <c r="BO83" i="31"/>
  <c r="BO87" i="31"/>
  <c r="BV60" i="31"/>
  <c r="R56" i="31"/>
  <c r="R88" i="31"/>
  <c r="Y82" i="31"/>
  <c r="AF73" i="31"/>
  <c r="AM70" i="31"/>
  <c r="AT61" i="31"/>
  <c r="AT64" i="31"/>
  <c r="BA55" i="31"/>
  <c r="BA87" i="31"/>
  <c r="BH81" i="31"/>
  <c r="BO75" i="31"/>
  <c r="BV69" i="31"/>
  <c r="R77" i="31"/>
  <c r="Y71" i="31"/>
  <c r="AF68" i="31"/>
  <c r="AM62" i="31"/>
  <c r="AT53" i="31"/>
  <c r="AT56" i="31"/>
  <c r="AT88" i="31"/>
  <c r="BH76" i="31"/>
  <c r="BO70" i="31"/>
  <c r="BV61" i="31"/>
  <c r="R85" i="31"/>
  <c r="Y79" i="31"/>
  <c r="AF76" i="31"/>
  <c r="AM67" i="31"/>
  <c r="BA58" i="31"/>
  <c r="BH52" i="31"/>
  <c r="BH84" i="31"/>
  <c r="BO78" i="31"/>
  <c r="BV72" i="31"/>
  <c r="R80" i="31"/>
  <c r="Y74" i="31"/>
  <c r="AF65" i="31"/>
  <c r="AM59" i="31"/>
  <c r="AT85" i="31"/>
  <c r="BA79" i="31"/>
  <c r="BA82" i="31"/>
  <c r="BH73" i="31"/>
  <c r="BO67" i="31"/>
  <c r="BV64" i="31"/>
  <c r="R69" i="31"/>
  <c r="R72" i="31"/>
  <c r="Y63" i="31"/>
  <c r="Y66" i="31"/>
  <c r="AF57" i="31"/>
  <c r="AF60" i="31"/>
  <c r="AM51" i="31"/>
  <c r="AM54" i="31"/>
  <c r="AM83" i="31"/>
  <c r="AM86" i="31"/>
  <c r="AT77" i="31"/>
  <c r="AT80" i="31"/>
  <c r="BA71" i="31"/>
  <c r="BA74" i="31"/>
  <c r="BH65" i="31"/>
  <c r="BH68" i="31"/>
  <c r="BO59" i="31"/>
  <c r="BO62" i="31"/>
  <c r="BV53" i="31"/>
  <c r="BV56" i="31"/>
  <c r="BV85" i="31"/>
  <c r="BV88" i="31"/>
  <c r="CE42" i="31"/>
  <c r="CE37" i="31"/>
  <c r="CE34" i="31"/>
  <c r="CE29" i="31"/>
  <c r="CE26" i="31"/>
  <c r="CE21" i="31"/>
  <c r="CE18" i="31"/>
  <c r="CE13" i="31"/>
  <c r="CE10" i="31"/>
  <c r="CC39" i="31"/>
  <c r="CE39" i="31" s="1"/>
  <c r="CD30" i="31"/>
  <c r="CE30" i="31" s="1"/>
  <c r="CC23" i="31"/>
  <c r="CE23" i="31" s="1"/>
  <c r="CD14" i="31"/>
  <c r="CE14" i="31" s="1"/>
  <c r="BY31" i="31"/>
  <c r="BY15" i="31"/>
  <c r="CD38" i="31"/>
  <c r="CE38" i="31" s="1"/>
  <c r="CD22" i="31"/>
  <c r="CE22" i="31" s="1"/>
  <c r="BO22" i="31"/>
  <c r="BV11" i="31"/>
  <c r="R22" i="31"/>
  <c r="AM20" i="31"/>
  <c r="BA8" i="31"/>
  <c r="BO9" i="31"/>
  <c r="R35" i="31"/>
  <c r="AF39" i="31"/>
  <c r="AT11" i="31"/>
  <c r="AT43" i="31"/>
  <c r="BH31" i="31"/>
  <c r="BO30" i="31"/>
  <c r="BA29" i="31"/>
  <c r="BH28" i="31"/>
  <c r="BO17" i="31"/>
  <c r="BV16" i="31"/>
  <c r="BV43" i="31"/>
  <c r="BH23" i="31"/>
  <c r="Y32" i="31"/>
  <c r="AF10" i="31"/>
  <c r="AF42" i="31"/>
  <c r="AT14" i="31"/>
  <c r="BA21" i="31"/>
  <c r="BV35" i="31"/>
  <c r="R19" i="31"/>
  <c r="Y29" i="31"/>
  <c r="AM17" i="31"/>
  <c r="AT27" i="31"/>
  <c r="BH44" i="31"/>
  <c r="BO33" i="31"/>
  <c r="BV32" i="31"/>
  <c r="R14" i="31"/>
  <c r="R30" i="31"/>
  <c r="Y8" i="31"/>
  <c r="Y24" i="31"/>
  <c r="Y40" i="31"/>
  <c r="AF18" i="31"/>
  <c r="AF34" i="31"/>
  <c r="AM12" i="31"/>
  <c r="AM28" i="31"/>
  <c r="AM44" i="31"/>
  <c r="AT22" i="31"/>
  <c r="AT38" i="31"/>
  <c r="BA16" i="31"/>
  <c r="BA26" i="31"/>
  <c r="BH15" i="31"/>
  <c r="BO14" i="31"/>
  <c r="BO41" i="31"/>
  <c r="BV40" i="31"/>
  <c r="BA34" i="31"/>
  <c r="R38" i="31"/>
  <c r="Y16" i="31"/>
  <c r="AF26" i="31"/>
  <c r="AM36" i="31"/>
  <c r="AT30" i="31"/>
  <c r="BH20" i="31"/>
  <c r="BV8" i="31"/>
  <c r="Y13" i="31"/>
  <c r="AF7" i="31"/>
  <c r="AF23" i="31"/>
  <c r="AM33" i="31"/>
  <c r="BA18" i="31"/>
  <c r="BH7" i="31"/>
  <c r="BA42" i="31"/>
  <c r="BV19" i="31"/>
  <c r="CH77" i="31" l="1"/>
  <c r="CQ33" i="31"/>
  <c r="CN33" i="31"/>
  <c r="CK33" i="31"/>
  <c r="CH33" i="31"/>
  <c r="CH67" i="31" l="1"/>
  <c r="CQ23" i="31"/>
  <c r="CN23" i="31"/>
  <c r="CK23" i="31"/>
  <c r="CH23" i="31"/>
  <c r="CH63" i="31" l="1"/>
  <c r="CQ19" i="31"/>
  <c r="CN19" i="31"/>
  <c r="CK19" i="31"/>
  <c r="CH19" i="31"/>
  <c r="CH62" i="31" l="1"/>
  <c r="CQ18" i="31"/>
  <c r="CN18" i="31"/>
  <c r="CK18" i="31"/>
  <c r="CH18" i="31"/>
  <c r="CH71" i="31" l="1"/>
  <c r="CQ27" i="31"/>
  <c r="CN27" i="31"/>
  <c r="CK27" i="31"/>
  <c r="CH27" i="31"/>
  <c r="CQ44" i="31" l="1"/>
  <c r="CN44" i="31"/>
  <c r="CK44" i="31"/>
  <c r="CH44" i="31"/>
  <c r="CH61" i="31" l="1"/>
  <c r="CQ17" i="31"/>
  <c r="CN17" i="31"/>
  <c r="CK17" i="31"/>
  <c r="CH17" i="31"/>
  <c r="CH69" i="31" l="1"/>
  <c r="CQ25" i="31"/>
  <c r="CN25" i="31"/>
  <c r="CK25" i="31"/>
  <c r="CH25" i="31"/>
  <c r="CH60" i="31" l="1"/>
  <c r="CQ16" i="31"/>
  <c r="CN16" i="31"/>
  <c r="CK16" i="31"/>
  <c r="CH16" i="31"/>
  <c r="CQ21" i="31" l="1"/>
  <c r="CN21" i="31"/>
  <c r="CK21" i="31"/>
  <c r="CH21" i="31"/>
  <c r="CH68" i="31" l="1"/>
  <c r="CQ24" i="31"/>
  <c r="CN24" i="31"/>
  <c r="CK24" i="31"/>
  <c r="CH24" i="31"/>
  <c r="CH70" i="31" l="1"/>
  <c r="CQ26" i="31"/>
  <c r="CN26" i="31"/>
  <c r="CK26" i="31"/>
  <c r="CH26" i="31"/>
  <c r="CH79" i="31" l="1"/>
  <c r="CQ35" i="31"/>
  <c r="CN35" i="31"/>
  <c r="CK35" i="31"/>
  <c r="CH35" i="31"/>
  <c r="CH76" i="31" l="1"/>
  <c r="CQ32" i="31"/>
  <c r="CN32" i="31"/>
  <c r="CK32" i="31"/>
  <c r="CH32" i="31"/>
  <c r="CH56" i="31" l="1"/>
  <c r="CQ12" i="31"/>
  <c r="CN12" i="31"/>
  <c r="CK12" i="31"/>
  <c r="CH12" i="31"/>
  <c r="CH57" i="31" l="1"/>
  <c r="CQ13" i="31"/>
  <c r="CN13" i="31"/>
  <c r="CK13" i="31"/>
  <c r="CH13" i="31"/>
  <c r="CQ20" i="31" l="1"/>
  <c r="CN20" i="31"/>
  <c r="CK20" i="31"/>
  <c r="CH20" i="31"/>
  <c r="CH78" i="31" l="1"/>
  <c r="CQ34" i="31"/>
  <c r="CN34" i="31"/>
  <c r="CK34" i="31"/>
  <c r="CH34" i="31"/>
  <c r="CH54" i="31" l="1"/>
  <c r="CQ10" i="31"/>
  <c r="CN10" i="31"/>
  <c r="CK10" i="31"/>
  <c r="CH10" i="31"/>
  <c r="CH75" i="31" l="1"/>
  <c r="CQ31" i="31"/>
  <c r="CN31" i="31"/>
  <c r="CK31" i="31"/>
  <c r="CH31" i="31"/>
  <c r="CH74" i="31" l="1"/>
  <c r="CQ30" i="31"/>
  <c r="CN30" i="31"/>
  <c r="CK30" i="31"/>
  <c r="CH30" i="31"/>
  <c r="CQ43" i="31" l="1"/>
  <c r="CN43" i="31"/>
  <c r="CK43" i="31"/>
  <c r="CH43" i="31"/>
  <c r="CH53" i="31"/>
  <c r="CQ9" i="31"/>
  <c r="CN9" i="31"/>
  <c r="CK9" i="31"/>
  <c r="CH9" i="31"/>
  <c r="BC9" i="31"/>
  <c r="AO9" i="31"/>
  <c r="T9" i="31"/>
  <c r="CH55" i="31" l="1"/>
  <c r="CQ11" i="31"/>
  <c r="CN11" i="31"/>
  <c r="CK11" i="31"/>
  <c r="CH11" i="31"/>
  <c r="CH72" i="31" l="1"/>
  <c r="CQ28" i="31"/>
  <c r="CN28" i="31"/>
  <c r="CK28" i="31"/>
  <c r="CH28" i="31"/>
  <c r="CH52" i="31" l="1"/>
  <c r="CQ8" i="31"/>
  <c r="CN8" i="31"/>
  <c r="CK8" i="31"/>
  <c r="CH8" i="31"/>
  <c r="CH59" i="31" l="1"/>
  <c r="CQ15" i="31"/>
  <c r="CN15" i="31"/>
  <c r="CK15" i="31"/>
  <c r="CH15" i="31"/>
  <c r="CQ37" i="31" l="1"/>
  <c r="CN37" i="31"/>
  <c r="CK37" i="31"/>
  <c r="CH37" i="31"/>
  <c r="CH81" i="31" l="1"/>
  <c r="CH66" i="31" l="1"/>
  <c r="CQ22" i="31"/>
  <c r="CN22" i="31"/>
  <c r="CK22" i="31"/>
  <c r="CH22" i="31"/>
  <c r="CQ39" i="31" l="1"/>
  <c r="CN39" i="31"/>
  <c r="CK39" i="31"/>
  <c r="CH39" i="31"/>
  <c r="CH82" i="31" l="1"/>
  <c r="CQ7" i="31" l="1"/>
  <c r="CN7" i="31"/>
  <c r="CK7" i="31"/>
  <c r="CH7" i="31"/>
  <c r="CD7" i="31"/>
  <c r="CC7" i="31"/>
  <c r="CA7" i="31"/>
  <c r="CB7" i="31" s="1"/>
  <c r="BZ7" i="31"/>
  <c r="BX7" i="31"/>
  <c r="BW7" i="31"/>
  <c r="J7" i="31"/>
  <c r="I7" i="31"/>
  <c r="BY7" i="31" l="1"/>
  <c r="CE7" i="31"/>
  <c r="K7" i="31"/>
  <c r="CH84" i="31"/>
  <c r="CQ40" i="31"/>
  <c r="CN40" i="31"/>
  <c r="CK40" i="31"/>
  <c r="CH40" i="31"/>
  <c r="CH58" i="31" l="1"/>
  <c r="CQ14" i="31"/>
  <c r="CN14" i="31"/>
  <c r="CK14" i="31"/>
  <c r="CH14" i="31"/>
  <c r="CH85" i="31" l="1"/>
  <c r="CQ41" i="31"/>
  <c r="CN41" i="31"/>
  <c r="CK41" i="31"/>
  <c r="CH41" i="31"/>
  <c r="CH86" i="31" l="1"/>
  <c r="CQ42" i="31"/>
  <c r="CN42" i="31"/>
  <c r="CK42" i="31"/>
  <c r="CH42" i="31"/>
  <c r="CH73" i="31" l="1"/>
  <c r="CQ29" i="31"/>
  <c r="CN29" i="31"/>
  <c r="CH29" i="31"/>
  <c r="CH64" i="31" l="1"/>
  <c r="CH65" i="31"/>
  <c r="CH80" i="31"/>
  <c r="CH83" i="31"/>
  <c r="CH87" i="31"/>
  <c r="CH88" i="31"/>
  <c r="G18" i="32"/>
  <c r="E18" i="32"/>
  <c r="E43" i="32"/>
  <c r="E34" i="32"/>
  <c r="E11" i="32"/>
  <c r="E35" i="32"/>
  <c r="E25" i="32"/>
  <c r="E33" i="32"/>
  <c r="E37" i="32"/>
  <c r="E41" i="32"/>
  <c r="E42" i="32"/>
  <c r="G34" i="32"/>
  <c r="G35" i="32"/>
  <c r="K30" i="32"/>
  <c r="E12" i="32"/>
  <c r="G30" i="32"/>
  <c r="E30" i="32"/>
  <c r="E7" i="32"/>
  <c r="E10" i="32"/>
  <c r="E13" i="32"/>
  <c r="E14" i="32"/>
  <c r="E15" i="32"/>
  <c r="E17" i="32"/>
  <c r="E20" i="32"/>
  <c r="E21" i="32"/>
  <c r="E22" i="32"/>
  <c r="E24" i="32"/>
  <c r="E28" i="32"/>
  <c r="E29" i="32"/>
  <c r="E31" i="32"/>
  <c r="E32" i="32"/>
  <c r="E36" i="32"/>
  <c r="E38" i="32"/>
  <c r="E39" i="32"/>
  <c r="E40" i="32"/>
  <c r="G27" i="32"/>
  <c r="G14" i="32"/>
  <c r="G36" i="32"/>
  <c r="G21" i="32"/>
  <c r="V38" i="32"/>
  <c r="G38" i="32"/>
  <c r="G6" i="32"/>
  <c r="G39" i="32"/>
  <c r="G13" i="32"/>
  <c r="G40" i="32"/>
  <c r="G41" i="32"/>
  <c r="G28" i="32"/>
  <c r="G37" i="32"/>
  <c r="G24" i="32"/>
  <c r="G31" i="32"/>
  <c r="G11" i="32"/>
  <c r="G12" i="32"/>
  <c r="G19" i="32"/>
  <c r="G33" i="32"/>
  <c r="G9" i="32"/>
  <c r="G29" i="32"/>
  <c r="K42" i="32"/>
  <c r="G20" i="32"/>
  <c r="G17" i="32"/>
  <c r="G26" i="32"/>
  <c r="G16" i="32"/>
  <c r="G23" i="32"/>
  <c r="G25" i="32"/>
  <c r="G22" i="32"/>
  <c r="G32" i="32"/>
  <c r="G15" i="32"/>
  <c r="G43" i="32"/>
  <c r="BS45" i="31"/>
  <c r="BE45" i="31"/>
  <c r="U36" i="32"/>
  <c r="BR45" i="31"/>
  <c r="BQ45" i="31"/>
  <c r="BL45" i="31"/>
  <c r="BK45" i="31"/>
  <c r="AX45" i="31"/>
  <c r="AW45" i="31"/>
  <c r="AV45" i="31"/>
  <c r="AU45" i="31"/>
  <c r="AQ45" i="31"/>
  <c r="AP45" i="31"/>
  <c r="AN45" i="31"/>
  <c r="AJ45" i="31"/>
  <c r="AI45" i="31"/>
  <c r="AH45" i="31"/>
  <c r="AG45" i="31"/>
  <c r="AC45" i="31"/>
  <c r="AB45" i="31"/>
  <c r="AA45" i="31"/>
  <c r="Z45" i="31"/>
  <c r="V45" i="31"/>
  <c r="U45" i="31"/>
  <c r="S45" i="31"/>
  <c r="O45" i="31"/>
  <c r="N45" i="31"/>
  <c r="M45" i="31"/>
  <c r="L45" i="31"/>
  <c r="H45" i="31"/>
  <c r="G45" i="31"/>
  <c r="F45" i="31"/>
  <c r="E45" i="31"/>
  <c r="O33" i="32"/>
  <c r="BS89" i="31"/>
  <c r="BR89" i="31"/>
  <c r="BQ89" i="31"/>
  <c r="BP89" i="31"/>
  <c r="BL89" i="31"/>
  <c r="BK89" i="31"/>
  <c r="BJ89" i="31"/>
  <c r="BI89" i="31"/>
  <c r="BE89" i="31"/>
  <c r="BD89" i="31"/>
  <c r="BC89" i="31"/>
  <c r="BB89" i="31"/>
  <c r="BU45" i="31" l="1"/>
  <c r="E23" i="32"/>
  <c r="E26" i="32"/>
  <c r="F13" i="32"/>
  <c r="F7" i="32"/>
  <c r="E9" i="32"/>
  <c r="F10" i="32"/>
  <c r="F11" i="32"/>
  <c r="F12" i="32"/>
  <c r="F14" i="32"/>
  <c r="F27" i="32"/>
  <c r="X36" i="32"/>
  <c r="W36" i="32"/>
  <c r="V40" i="32"/>
  <c r="E16" i="32"/>
  <c r="E19" i="32"/>
  <c r="F21" i="32"/>
  <c r="F22" i="32"/>
  <c r="E27" i="32"/>
  <c r="F28" i="32"/>
  <c r="F40" i="32"/>
  <c r="F42" i="32"/>
  <c r="F16" i="32"/>
  <c r="P31" i="32"/>
  <c r="F15" i="32"/>
  <c r="F32" i="32"/>
  <c r="V43" i="32"/>
  <c r="F9" i="32"/>
  <c r="G10" i="32"/>
  <c r="N43" i="32"/>
  <c r="N40" i="32"/>
  <c r="N38" i="32"/>
  <c r="M36" i="32"/>
  <c r="H38" i="32"/>
  <c r="H34" i="32"/>
  <c r="H33" i="32"/>
  <c r="H31" i="32"/>
  <c r="H30" i="32"/>
  <c r="H29" i="32"/>
  <c r="H28" i="32"/>
  <c r="H27" i="32"/>
  <c r="H24" i="32"/>
  <c r="H22" i="32"/>
  <c r="H20" i="32"/>
  <c r="H14" i="32"/>
  <c r="H13" i="32"/>
  <c r="H12" i="32"/>
  <c r="H11" i="32"/>
  <c r="H10" i="32"/>
  <c r="H9" i="32"/>
  <c r="H7" i="32"/>
  <c r="H6" i="32"/>
  <c r="H35" i="32"/>
  <c r="H16" i="32"/>
  <c r="H18" i="32"/>
  <c r="AE45" i="31"/>
  <c r="N39" i="32"/>
  <c r="H39" i="32"/>
  <c r="F39" i="32"/>
  <c r="F18" i="32"/>
  <c r="H17" i="32"/>
  <c r="H26" i="32"/>
  <c r="F26" i="32"/>
  <c r="H32" i="32"/>
  <c r="F24" i="32"/>
  <c r="H15" i="32"/>
  <c r="H23" i="32"/>
  <c r="H25" i="32"/>
  <c r="F25" i="32"/>
  <c r="H37" i="32"/>
  <c r="F29" i="32"/>
  <c r="Q45" i="31"/>
  <c r="F30" i="32"/>
  <c r="F31" i="32"/>
  <c r="H19" i="32"/>
  <c r="F19" i="32"/>
  <c r="BX89" i="31"/>
  <c r="AQ8" i="32"/>
  <c r="F23" i="32"/>
  <c r="F8" i="32"/>
  <c r="F37" i="32"/>
  <c r="AO45" i="31"/>
  <c r="AS45" i="31" s="1"/>
  <c r="T45" i="31"/>
  <c r="X45" i="31" s="1"/>
  <c r="H8" i="32"/>
  <c r="E8" i="32"/>
  <c r="F38" i="32"/>
  <c r="P42" i="32"/>
  <c r="H43" i="32"/>
  <c r="H42" i="32"/>
  <c r="H41" i="32"/>
  <c r="H40" i="32"/>
  <c r="H36" i="32"/>
  <c r="F33" i="32"/>
  <c r="R36" i="32"/>
  <c r="Q36" i="32"/>
  <c r="F35" i="32"/>
  <c r="F41" i="32"/>
  <c r="F34" i="32"/>
  <c r="F43" i="32"/>
  <c r="BI45" i="31"/>
  <c r="BM45" i="31" s="1"/>
  <c r="BD45" i="31"/>
  <c r="BC45" i="31"/>
  <c r="BG45" i="31" s="1"/>
  <c r="BB45" i="31"/>
  <c r="P43" i="32"/>
  <c r="T39" i="32"/>
  <c r="P38" i="32"/>
  <c r="L36" i="32"/>
  <c r="V42" i="32"/>
  <c r="K36" i="32"/>
  <c r="I36" i="32"/>
  <c r="Q41" i="32"/>
  <c r="T36" i="32"/>
  <c r="L41" i="32"/>
  <c r="S36" i="32"/>
  <c r="T6" i="32"/>
  <c r="X43" i="32"/>
  <c r="X42" i="32"/>
  <c r="X40" i="32"/>
  <c r="Q39" i="32"/>
  <c r="M38" i="32"/>
  <c r="P36" i="32"/>
  <c r="W41" i="32"/>
  <c r="S40" i="32"/>
  <c r="O39" i="32"/>
  <c r="K38" i="32"/>
  <c r="O36" i="32"/>
  <c r="U43" i="32"/>
  <c r="U42" i="32"/>
  <c r="T41" i="32"/>
  <c r="P40" i="32"/>
  <c r="L39" i="32"/>
  <c r="V36" i="32"/>
  <c r="N36" i="32"/>
  <c r="F36" i="32"/>
  <c r="V35" i="32"/>
  <c r="S42" i="32"/>
  <c r="K40" i="32"/>
  <c r="U37" i="32"/>
  <c r="O41" i="32"/>
  <c r="X38" i="32"/>
  <c r="R37" i="32"/>
  <c r="R32" i="32"/>
  <c r="M43" i="32"/>
  <c r="M42" i="32"/>
  <c r="U38" i="32"/>
  <c r="M37" i="32"/>
  <c r="W27" i="32"/>
  <c r="I6" i="32"/>
  <c r="I41" i="32"/>
  <c r="W39" i="32"/>
  <c r="S38" i="32"/>
  <c r="J37" i="32"/>
  <c r="J36" i="32"/>
  <c r="O6" i="32"/>
  <c r="W6" i="32"/>
  <c r="S7" i="32"/>
  <c r="G8" i="32"/>
  <c r="W8" i="32"/>
  <c r="O10" i="32"/>
  <c r="R15" i="32"/>
  <c r="X23" i="32"/>
  <c r="L24" i="32"/>
  <c r="T24" i="32"/>
  <c r="P25" i="32"/>
  <c r="W31" i="32"/>
  <c r="K6" i="32"/>
  <c r="S6" i="32"/>
  <c r="G7" i="32"/>
  <c r="O7" i="32"/>
  <c r="W7" i="32"/>
  <c r="K8" i="32"/>
  <c r="V11" i="32"/>
  <c r="J12" i="32"/>
  <c r="R12" i="32"/>
  <c r="N13" i="32"/>
  <c r="J14" i="32"/>
  <c r="R14" i="32"/>
  <c r="J18" i="32"/>
  <c r="V19" i="32"/>
  <c r="M21" i="32"/>
  <c r="U21" i="32"/>
  <c r="I22" i="32"/>
  <c r="X22" i="32"/>
  <c r="P24" i="32"/>
  <c r="X24" i="32"/>
  <c r="L25" i="32"/>
  <c r="T25" i="32"/>
  <c r="P26" i="32"/>
  <c r="X26" i="32"/>
  <c r="L27" i="32"/>
  <c r="P28" i="32"/>
  <c r="X28" i="32"/>
  <c r="L29" i="32"/>
  <c r="T29" i="32"/>
  <c r="W30" i="32"/>
  <c r="K37" i="32"/>
  <c r="S37" i="32"/>
  <c r="O38" i="32"/>
  <c r="W38" i="32"/>
  <c r="K39" i="32"/>
  <c r="S39" i="32"/>
  <c r="O40" i="32"/>
  <c r="W40" i="32"/>
  <c r="K41" i="32"/>
  <c r="S41" i="32"/>
  <c r="G42" i="32"/>
  <c r="O42" i="32"/>
  <c r="W42" i="32"/>
  <c r="S33" i="32"/>
  <c r="P30" i="32"/>
  <c r="P29" i="32"/>
  <c r="S25" i="32"/>
  <c r="M22" i="32"/>
  <c r="T9" i="32"/>
  <c r="S8" i="32"/>
  <c r="O9" i="32"/>
  <c r="W9" i="32"/>
  <c r="K10" i="32"/>
  <c r="R10" i="32"/>
  <c r="V13" i="32"/>
  <c r="N15" i="32"/>
  <c r="V15" i="32"/>
  <c r="J16" i="32"/>
  <c r="R16" i="32"/>
  <c r="N17" i="32"/>
  <c r="V17" i="32"/>
  <c r="N19" i="32"/>
  <c r="R20" i="32"/>
  <c r="Q22" i="32"/>
  <c r="BM89" i="31"/>
  <c r="P7" i="32"/>
  <c r="X7" i="32"/>
  <c r="L8" i="32"/>
  <c r="T8" i="32"/>
  <c r="P9" i="32"/>
  <c r="X9" i="32"/>
  <c r="L10" i="32"/>
  <c r="S10" i="32"/>
  <c r="O11" i="32"/>
  <c r="W11" i="32"/>
  <c r="K12" i="32"/>
  <c r="S12" i="32"/>
  <c r="O13" i="32"/>
  <c r="W13" i="32"/>
  <c r="K14" i="32"/>
  <c r="S14" i="32"/>
  <c r="O15" i="32"/>
  <c r="W15" i="32"/>
  <c r="K16" i="32"/>
  <c r="S16" i="32"/>
  <c r="O17" i="32"/>
  <c r="W17" i="32"/>
  <c r="K18" i="32"/>
  <c r="S18" i="32"/>
  <c r="O19" i="32"/>
  <c r="W19" i="32"/>
  <c r="K20" i="32"/>
  <c r="S20" i="32"/>
  <c r="N21" i="32"/>
  <c r="J22" i="32"/>
  <c r="R22" i="32"/>
  <c r="M23" i="32"/>
  <c r="U23" i="32"/>
  <c r="I24" i="32"/>
  <c r="Q24" i="32"/>
  <c r="M25" i="32"/>
  <c r="U25" i="32"/>
  <c r="I26" i="32"/>
  <c r="Q26" i="32"/>
  <c r="M27" i="32"/>
  <c r="U27" i="32"/>
  <c r="I30" i="32"/>
  <c r="Q30" i="32"/>
  <c r="L31" i="32"/>
  <c r="T31" i="32"/>
  <c r="P32" i="32"/>
  <c r="X32" i="32"/>
  <c r="L33" i="32"/>
  <c r="T33" i="32"/>
  <c r="P34" i="32"/>
  <c r="X34" i="32"/>
  <c r="L35" i="32"/>
  <c r="T35" i="32"/>
  <c r="L37" i="32"/>
  <c r="V6" i="32"/>
  <c r="M40" i="32"/>
  <c r="S35" i="32"/>
  <c r="R34" i="32"/>
  <c r="P33" i="32"/>
  <c r="O32" i="32"/>
  <c r="N31" i="32"/>
  <c r="M30" i="32"/>
  <c r="M29" i="32"/>
  <c r="T27" i="32"/>
  <c r="O25" i="32"/>
  <c r="V21" i="32"/>
  <c r="P15" i="32"/>
  <c r="X8" i="32"/>
  <c r="K7" i="32"/>
  <c r="O8" i="32"/>
  <c r="S9" i="32"/>
  <c r="R11" i="32"/>
  <c r="J17" i="32"/>
  <c r="K32" i="32"/>
  <c r="M6" i="32"/>
  <c r="U6" i="32"/>
  <c r="I7" i="32"/>
  <c r="Q7" i="32"/>
  <c r="M8" i="32"/>
  <c r="U8" i="32"/>
  <c r="I9" i="32"/>
  <c r="Q9" i="32"/>
  <c r="M10" i="32"/>
  <c r="T10" i="32"/>
  <c r="P11" i="32"/>
  <c r="X11" i="32"/>
  <c r="L12" i="32"/>
  <c r="T12" i="32"/>
  <c r="P13" i="32"/>
  <c r="X13" i="32"/>
  <c r="L14" i="32"/>
  <c r="T14" i="32"/>
  <c r="X15" i="32"/>
  <c r="L16" i="32"/>
  <c r="T16" i="32"/>
  <c r="P17" i="32"/>
  <c r="X17" i="32"/>
  <c r="L18" i="32"/>
  <c r="T18" i="32"/>
  <c r="P19" i="32"/>
  <c r="X19" i="32"/>
  <c r="L20" i="32"/>
  <c r="T20" i="32"/>
  <c r="O21" i="32"/>
  <c r="W21" i="32"/>
  <c r="K22" i="32"/>
  <c r="S22" i="32"/>
  <c r="N23" i="32"/>
  <c r="V23" i="32"/>
  <c r="J24" i="32"/>
  <c r="R24" i="32"/>
  <c r="N25" i="32"/>
  <c r="V25" i="32"/>
  <c r="J26" i="32"/>
  <c r="R26" i="32"/>
  <c r="V27" i="32"/>
  <c r="J28" i="32"/>
  <c r="R28" i="32"/>
  <c r="N29" i="32"/>
  <c r="V29" i="32"/>
  <c r="J30" i="32"/>
  <c r="R30" i="32"/>
  <c r="M31" i="32"/>
  <c r="U31" i="32"/>
  <c r="I32" i="32"/>
  <c r="Q32" i="32"/>
  <c r="M33" i="32"/>
  <c r="U33" i="32"/>
  <c r="K43" i="32"/>
  <c r="I39" i="32"/>
  <c r="P35" i="32"/>
  <c r="O34" i="32"/>
  <c r="N33" i="32"/>
  <c r="L32" i="32"/>
  <c r="K31" i="32"/>
  <c r="N27" i="32"/>
  <c r="V20" i="32"/>
  <c r="Q14" i="32"/>
  <c r="F20" i="32"/>
  <c r="N20" i="32"/>
  <c r="I21" i="32"/>
  <c r="Q21" i="32"/>
  <c r="P23" i="32"/>
  <c r="X25" i="32"/>
  <c r="L30" i="32"/>
  <c r="S32" i="32"/>
  <c r="J7" i="32"/>
  <c r="R7" i="32"/>
  <c r="N8" i="32"/>
  <c r="V8" i="32"/>
  <c r="J9" i="32"/>
  <c r="R9" i="32"/>
  <c r="N10" i="32"/>
  <c r="U10" i="32"/>
  <c r="I11" i="32"/>
  <c r="Q11" i="32"/>
  <c r="M12" i="32"/>
  <c r="U12" i="32"/>
  <c r="I13" i="32"/>
  <c r="Q13" i="32"/>
  <c r="M14" i="32"/>
  <c r="U14" i="32"/>
  <c r="I15" i="32"/>
  <c r="Q15" i="32"/>
  <c r="M16" i="32"/>
  <c r="U16" i="32"/>
  <c r="I17" i="32"/>
  <c r="Q17" i="32"/>
  <c r="M18" i="32"/>
  <c r="U18" i="32"/>
  <c r="I19" i="32"/>
  <c r="Q19" i="32"/>
  <c r="M20" i="32"/>
  <c r="U20" i="32"/>
  <c r="H21" i="32"/>
  <c r="P21" i="32"/>
  <c r="X21" i="32"/>
  <c r="L22" i="32"/>
  <c r="T22" i="32"/>
  <c r="O23" i="32"/>
  <c r="W23" i="32"/>
  <c r="S24" i="32"/>
  <c r="W25" i="32"/>
  <c r="K26" i="32"/>
  <c r="S26" i="32"/>
  <c r="O27" i="32"/>
  <c r="K28" i="32"/>
  <c r="S28" i="32"/>
  <c r="O29" i="32"/>
  <c r="W29" i="32"/>
  <c r="N37" i="32"/>
  <c r="V37" i="32"/>
  <c r="J38" i="32"/>
  <c r="R38" i="32"/>
  <c r="V39" i="32"/>
  <c r="J40" i="32"/>
  <c r="R40" i="32"/>
  <c r="N41" i="32"/>
  <c r="V41" i="32"/>
  <c r="J42" i="32"/>
  <c r="R42" i="32"/>
  <c r="N35" i="32"/>
  <c r="L34" i="32"/>
  <c r="K33" i="32"/>
  <c r="J32" i="32"/>
  <c r="K27" i="32"/>
  <c r="W24" i="32"/>
  <c r="J20" i="32"/>
  <c r="X37" i="32"/>
  <c r="K35" i="32"/>
  <c r="J34" i="32"/>
  <c r="T28" i="32"/>
  <c r="O24" i="32"/>
  <c r="J19" i="32"/>
  <c r="K9" i="32"/>
  <c r="V14" i="32"/>
  <c r="N16" i="32"/>
  <c r="V18" i="32"/>
  <c r="K34" i="32"/>
  <c r="S34" i="32"/>
  <c r="O35" i="32"/>
  <c r="P6" i="32"/>
  <c r="X6" i="32"/>
  <c r="L7" i="32"/>
  <c r="T7" i="32"/>
  <c r="L9" i="32"/>
  <c r="P10" i="32"/>
  <c r="W10" i="32"/>
  <c r="K11" i="32"/>
  <c r="S11" i="32"/>
  <c r="O12" i="32"/>
  <c r="W12" i="32"/>
  <c r="K13" i="32"/>
  <c r="S13" i="32"/>
  <c r="O14" i="32"/>
  <c r="W14" i="32"/>
  <c r="K15" i="32"/>
  <c r="S15" i="32"/>
  <c r="O16" i="32"/>
  <c r="W16" i="32"/>
  <c r="K17" i="32"/>
  <c r="S17" i="32"/>
  <c r="O18" i="32"/>
  <c r="W18" i="32"/>
  <c r="K19" i="32"/>
  <c r="S19" i="32"/>
  <c r="O20" i="32"/>
  <c r="W20" i="32"/>
  <c r="J21" i="32"/>
  <c r="R21" i="32"/>
  <c r="N22" i="32"/>
  <c r="U22" i="32"/>
  <c r="I23" i="32"/>
  <c r="Q23" i="32"/>
  <c r="M24" i="32"/>
  <c r="U24" i="32"/>
  <c r="I25" i="32"/>
  <c r="Q25" i="32"/>
  <c r="M26" i="32"/>
  <c r="U26" i="32"/>
  <c r="I27" i="32"/>
  <c r="Q27" i="32"/>
  <c r="M28" i="32"/>
  <c r="U28" i="32"/>
  <c r="I29" i="32"/>
  <c r="Q29" i="32"/>
  <c r="L38" i="32"/>
  <c r="L6" i="32"/>
  <c r="X31" i="32"/>
  <c r="X30" i="32"/>
  <c r="X29" i="32"/>
  <c r="Q28" i="32"/>
  <c r="T26" i="32"/>
  <c r="K24" i="32"/>
  <c r="R18" i="32"/>
  <c r="N12" i="32"/>
  <c r="J11" i="32"/>
  <c r="R13" i="32"/>
  <c r="N18" i="32"/>
  <c r="R19" i="32"/>
  <c r="X27" i="32"/>
  <c r="T30" i="32"/>
  <c r="W33" i="32"/>
  <c r="W35" i="32"/>
  <c r="M7" i="32"/>
  <c r="U7" i="32"/>
  <c r="I8" i="32"/>
  <c r="Q8" i="32"/>
  <c r="M9" i="32"/>
  <c r="U9" i="32"/>
  <c r="I10" i="32"/>
  <c r="X10" i="32"/>
  <c r="L11" i="32"/>
  <c r="T11" i="32"/>
  <c r="P12" i="32"/>
  <c r="X12" i="32"/>
  <c r="L13" i="32"/>
  <c r="T13" i="32"/>
  <c r="P14" i="32"/>
  <c r="X14" i="32"/>
  <c r="L15" i="32"/>
  <c r="T15" i="32"/>
  <c r="P16" i="32"/>
  <c r="X16" i="32"/>
  <c r="L17" i="32"/>
  <c r="T17" i="32"/>
  <c r="P18" i="32"/>
  <c r="X18" i="32"/>
  <c r="L19" i="32"/>
  <c r="T19" i="32"/>
  <c r="P20" i="32"/>
  <c r="X20" i="32"/>
  <c r="K21" i="32"/>
  <c r="S21" i="32"/>
  <c r="O22" i="32"/>
  <c r="V22" i="32"/>
  <c r="J23" i="32"/>
  <c r="R23" i="32"/>
  <c r="N24" i="32"/>
  <c r="V24" i="32"/>
  <c r="J25" i="32"/>
  <c r="R25" i="32"/>
  <c r="N26" i="32"/>
  <c r="V26" i="32"/>
  <c r="J27" i="32"/>
  <c r="R27" i="32"/>
  <c r="N28" i="32"/>
  <c r="V28" i="32"/>
  <c r="J29" i="32"/>
  <c r="N30" i="32"/>
  <c r="I31" i="32"/>
  <c r="Q31" i="32"/>
  <c r="M32" i="32"/>
  <c r="U32" i="32"/>
  <c r="I33" i="32"/>
  <c r="Q33" i="32"/>
  <c r="M34" i="32"/>
  <c r="U34" i="32"/>
  <c r="I35" i="32"/>
  <c r="Q35" i="32"/>
  <c r="I37" i="32"/>
  <c r="Q37" i="32"/>
  <c r="I43" i="32"/>
  <c r="Q43" i="32"/>
  <c r="I45" i="31"/>
  <c r="W45" i="31"/>
  <c r="N6" i="32"/>
  <c r="S43" i="32"/>
  <c r="U40" i="32"/>
  <c r="X33" i="32"/>
  <c r="W32" i="32"/>
  <c r="V31" i="32"/>
  <c r="U30" i="32"/>
  <c r="U29" i="32"/>
  <c r="L28" i="32"/>
  <c r="L26" i="32"/>
  <c r="T23" i="32"/>
  <c r="R17" i="32"/>
  <c r="N11" i="32"/>
  <c r="V12" i="32"/>
  <c r="J13" i="32"/>
  <c r="N14" i="32"/>
  <c r="J15" i="32"/>
  <c r="V16" i="32"/>
  <c r="P27" i="32"/>
  <c r="O31" i="32"/>
  <c r="J6" i="32"/>
  <c r="R6" i="32"/>
  <c r="N7" i="32"/>
  <c r="V7" i="32"/>
  <c r="R8" i="32"/>
  <c r="N9" i="32"/>
  <c r="V9" i="32"/>
  <c r="J10" i="32"/>
  <c r="Q10" i="32"/>
  <c r="M11" i="32"/>
  <c r="U11" i="32"/>
  <c r="I12" i="32"/>
  <c r="Q12" i="32"/>
  <c r="M13" i="32"/>
  <c r="U13" i="32"/>
  <c r="I14" i="32"/>
  <c r="M15" i="32"/>
  <c r="U15" i="32"/>
  <c r="I16" i="32"/>
  <c r="Q16" i="32"/>
  <c r="M17" i="32"/>
  <c r="U17" i="32"/>
  <c r="I18" i="32"/>
  <c r="Q18" i="32"/>
  <c r="M19" i="32"/>
  <c r="U19" i="32"/>
  <c r="I20" i="32"/>
  <c r="Q20" i="32"/>
  <c r="L21" i="32"/>
  <c r="T21" i="32"/>
  <c r="P22" i="32"/>
  <c r="W22" i="32"/>
  <c r="K23" i="32"/>
  <c r="S23" i="32"/>
  <c r="K25" i="32"/>
  <c r="O26" i="32"/>
  <c r="W26" i="32"/>
  <c r="S27" i="32"/>
  <c r="O28" i="32"/>
  <c r="W28" i="32"/>
  <c r="Q6" i="32"/>
  <c r="P37" i="32"/>
  <c r="X35" i="32"/>
  <c r="V33" i="32"/>
  <c r="T32" i="32"/>
  <c r="S31" i="32"/>
  <c r="S30" i="32"/>
  <c r="R29" i="32"/>
  <c r="I28" i="32"/>
  <c r="L23" i="32"/>
  <c r="F17" i="32"/>
  <c r="V10" i="32"/>
  <c r="W37" i="32"/>
  <c r="O37" i="32"/>
  <c r="U35" i="32"/>
  <c r="M35" i="32"/>
  <c r="Q34" i="32"/>
  <c r="I34" i="32"/>
  <c r="P45" i="31"/>
  <c r="AD45" i="31"/>
  <c r="T43" i="32"/>
  <c r="L43" i="32"/>
  <c r="Q42" i="32"/>
  <c r="I42" i="32"/>
  <c r="U41" i="32"/>
  <c r="M41" i="32"/>
  <c r="Q40" i="32"/>
  <c r="I40" i="32"/>
  <c r="U39" i="32"/>
  <c r="M39" i="32"/>
  <c r="Q38" i="32"/>
  <c r="I38" i="32"/>
  <c r="R43" i="32"/>
  <c r="J43" i="32"/>
  <c r="T37" i="32"/>
  <c r="R35" i="32"/>
  <c r="J35" i="32"/>
  <c r="N34" i="32"/>
  <c r="R33" i="32"/>
  <c r="J33" i="32"/>
  <c r="V32" i="32"/>
  <c r="N32" i="32"/>
  <c r="R31" i="32"/>
  <c r="J31" i="32"/>
  <c r="O30" i="32"/>
  <c r="N42" i="32"/>
  <c r="R41" i="32"/>
  <c r="J41" i="32"/>
  <c r="R39" i="32"/>
  <c r="J39" i="32"/>
  <c r="V30" i="32"/>
  <c r="S29" i="32"/>
  <c r="K29" i="32"/>
  <c r="W43" i="32"/>
  <c r="O43" i="32"/>
  <c r="T42" i="32"/>
  <c r="L42" i="32"/>
  <c r="X41" i="32"/>
  <c r="P41" i="32"/>
  <c r="T40" i="32"/>
  <c r="L40" i="32"/>
  <c r="X39" i="32"/>
  <c r="P39" i="32"/>
  <c r="T38" i="32"/>
  <c r="AR45" i="31"/>
  <c r="J45" i="31"/>
  <c r="BF89" i="31"/>
  <c r="AY45" i="31"/>
  <c r="AZ45" i="31"/>
  <c r="AL45" i="31"/>
  <c r="AK45" i="31"/>
  <c r="BZ45" i="31"/>
  <c r="BW89" i="31"/>
  <c r="BZ89" i="31"/>
  <c r="CA89" i="31"/>
  <c r="BT89" i="31"/>
  <c r="BU89" i="31"/>
  <c r="AT20" i="32"/>
  <c r="AP16" i="32"/>
  <c r="AR32" i="32"/>
  <c r="AU12" i="32"/>
  <c r="AU16" i="32"/>
  <c r="AU22" i="32"/>
  <c r="AT26" i="32"/>
  <c r="AU39" i="32"/>
  <c r="AU42" i="32"/>
  <c r="AQ13" i="32"/>
  <c r="AS33" i="32"/>
  <c r="AT14" i="32"/>
  <c r="AT37" i="32"/>
  <c r="AP12" i="32"/>
  <c r="AQ22" i="32"/>
  <c r="AP30" i="32"/>
  <c r="AQ36" i="32"/>
  <c r="AR8" i="32"/>
  <c r="AR15" i="32"/>
  <c r="AR25" i="32"/>
  <c r="AR35" i="32"/>
  <c r="AR38" i="32"/>
  <c r="AU9" i="32"/>
  <c r="AU29" i="32"/>
  <c r="AQ12" i="32"/>
  <c r="AP19" i="32"/>
  <c r="AQ26" i="32"/>
  <c r="AQ30" i="32"/>
  <c r="AP34" i="32"/>
  <c r="AQ40" i="32"/>
  <c r="BG89" i="31"/>
  <c r="AS8" i="32"/>
  <c r="AS15" i="32"/>
  <c r="AR18" i="32"/>
  <c r="AS21" i="32"/>
  <c r="AS25" i="32"/>
  <c r="AS28" i="32"/>
  <c r="AS32" i="32"/>
  <c r="AS35" i="32"/>
  <c r="AS38" i="32"/>
  <c r="AR42" i="32"/>
  <c r="AT6" i="32"/>
  <c r="AT10" i="32"/>
  <c r="AT13" i="32"/>
  <c r="AT19" i="32"/>
  <c r="AT23" i="32"/>
  <c r="AU26" i="32"/>
  <c r="AT30" i="32"/>
  <c r="AT36" i="32"/>
  <c r="AT40" i="32"/>
  <c r="AT43" i="32"/>
  <c r="AQ41" i="32"/>
  <c r="AR26" i="32"/>
  <c r="AU34" i="32"/>
  <c r="AQ18" i="32"/>
  <c r="AP26" i="32"/>
  <c r="AQ33" i="32"/>
  <c r="AP40" i="32"/>
  <c r="AS11" i="32"/>
  <c r="AR21" i="32"/>
  <c r="AR28" i="32"/>
  <c r="AU33" i="32"/>
  <c r="AQ16" i="32"/>
  <c r="AP23" i="32"/>
  <c r="AP37" i="32"/>
  <c r="AP9" i="32"/>
  <c r="AP13" i="32"/>
  <c r="AQ19" i="32"/>
  <c r="AQ23" i="32"/>
  <c r="AP27" i="32"/>
  <c r="AP31" i="32"/>
  <c r="AQ34" i="32"/>
  <c r="AQ37" i="32"/>
  <c r="AP41" i="32"/>
  <c r="AR9" i="32"/>
  <c r="AR12" i="32"/>
  <c r="AR16" i="32"/>
  <c r="AS18" i="32"/>
  <c r="AR22" i="32"/>
  <c r="AR29" i="32"/>
  <c r="AR33" i="32"/>
  <c r="AR39" i="32"/>
  <c r="AS42" i="32"/>
  <c r="AU6" i="32"/>
  <c r="AU10" i="32"/>
  <c r="AU13" i="32"/>
  <c r="AU19" i="32"/>
  <c r="AU23" i="32"/>
  <c r="AU30" i="32"/>
  <c r="AT34" i="32"/>
  <c r="AU36" i="32"/>
  <c r="AU40" i="32"/>
  <c r="AU43" i="32"/>
  <c r="AP20" i="32"/>
  <c r="AP38" i="32"/>
  <c r="AS22" i="32"/>
  <c r="AT7" i="32"/>
  <c r="AT31" i="32"/>
  <c r="AQ6" i="32"/>
  <c r="AP10" i="32"/>
  <c r="AP14" i="32"/>
  <c r="AQ20" i="32"/>
  <c r="AP24" i="32"/>
  <c r="AP28" i="32"/>
  <c r="AQ35" i="32"/>
  <c r="AQ38" i="32"/>
  <c r="AP42" i="32"/>
  <c r="AR6" i="32"/>
  <c r="AR10" i="32"/>
  <c r="AR13" i="32"/>
  <c r="AR19" i="32"/>
  <c r="AR23" i="32"/>
  <c r="AS26" i="32"/>
  <c r="AR30" i="32"/>
  <c r="AR36" i="32"/>
  <c r="AR40" i="32"/>
  <c r="AS43" i="32"/>
  <c r="AU7" i="32"/>
  <c r="AT11" i="32"/>
  <c r="AU14" i="32"/>
  <c r="AU17" i="32"/>
  <c r="AU20" i="32"/>
  <c r="AU24" i="32"/>
  <c r="AU27" i="32"/>
  <c r="AU31" i="32"/>
  <c r="AU37" i="32"/>
  <c r="AT41" i="32"/>
  <c r="AQ9" i="32"/>
  <c r="AP35" i="32"/>
  <c r="AS16" i="32"/>
  <c r="AS39" i="32"/>
  <c r="AT27" i="32"/>
  <c r="AQ14" i="32"/>
  <c r="AP21" i="32"/>
  <c r="AP32" i="32"/>
  <c r="AS10" i="32"/>
  <c r="AS13" i="32"/>
  <c r="AS19" i="32"/>
  <c r="AS23" i="32"/>
  <c r="AS30" i="32"/>
  <c r="AR34" i="32"/>
  <c r="AS36" i="32"/>
  <c r="AS40" i="32"/>
  <c r="AT8" i="32"/>
  <c r="AU11" i="32"/>
  <c r="AT15" i="32"/>
  <c r="AT21" i="32"/>
  <c r="AT25" i="32"/>
  <c r="AT28" i="32"/>
  <c r="AT32" i="32"/>
  <c r="AT35" i="32"/>
  <c r="AT38" i="32"/>
  <c r="AU41" i="32"/>
  <c r="AQ27" i="32"/>
  <c r="AS9" i="32"/>
  <c r="AS29" i="32"/>
  <c r="AR43" i="32"/>
  <c r="AT24" i="32"/>
  <c r="AQ10" i="32"/>
  <c r="AQ24" i="32"/>
  <c r="AQ42" i="32"/>
  <c r="AQ7" i="32"/>
  <c r="AP15" i="32"/>
  <c r="AQ21" i="32"/>
  <c r="AP25" i="32"/>
  <c r="AP29" i="32"/>
  <c r="AQ32" i="32"/>
  <c r="AP39" i="32"/>
  <c r="AP43" i="32"/>
  <c r="AR7" i="32"/>
  <c r="AR14" i="32"/>
  <c r="AR17" i="32"/>
  <c r="AR20" i="32"/>
  <c r="AR24" i="32"/>
  <c r="AR27" i="32"/>
  <c r="AR31" i="32"/>
  <c r="AS34" i="32"/>
  <c r="AR37" i="32"/>
  <c r="AR41" i="32"/>
  <c r="BN89" i="31"/>
  <c r="AU8" i="32"/>
  <c r="AU15" i="32"/>
  <c r="AT18" i="32"/>
  <c r="AU21" i="32"/>
  <c r="AU25" i="32"/>
  <c r="AU28" i="32"/>
  <c r="AU32" i="32"/>
  <c r="AU35" i="32"/>
  <c r="AU38" i="32"/>
  <c r="AP6" i="32"/>
  <c r="AQ31" i="32"/>
  <c r="AS12" i="32"/>
  <c r="AT17" i="32"/>
  <c r="AP7" i="32"/>
  <c r="AP17" i="32"/>
  <c r="AQ28" i="32"/>
  <c r="AS6" i="32"/>
  <c r="AP11" i="32"/>
  <c r="AQ17" i="32"/>
  <c r="AP8" i="32"/>
  <c r="AQ11" i="32"/>
  <c r="AQ15" i="32"/>
  <c r="AP18" i="32"/>
  <c r="AP22" i="32"/>
  <c r="AQ25" i="32"/>
  <c r="AQ29" i="32"/>
  <c r="AP33" i="32"/>
  <c r="AP36" i="32"/>
  <c r="AQ39" i="32"/>
  <c r="AQ43" i="32"/>
  <c r="AS7" i="32"/>
  <c r="AR11" i="32"/>
  <c r="AS14" i="32"/>
  <c r="AS17" i="32"/>
  <c r="AS20" i="32"/>
  <c r="AS24" i="32"/>
  <c r="AS27" i="32"/>
  <c r="AS31" i="32"/>
  <c r="AS37" i="32"/>
  <c r="AS41" i="32"/>
  <c r="AT9" i="32"/>
  <c r="AT12" i="32"/>
  <c r="AT16" i="32"/>
  <c r="AU18" i="32"/>
  <c r="AT22" i="32"/>
  <c r="AT29" i="32"/>
  <c r="AT33" i="32"/>
  <c r="AT39" i="32"/>
  <c r="AT42" i="32"/>
  <c r="AF45" i="31" l="1"/>
  <c r="R45" i="31"/>
  <c r="BF45" i="31"/>
  <c r="BH45" i="31" s="1"/>
  <c r="P8" i="32"/>
  <c r="J8" i="32"/>
  <c r="BJ45" i="31"/>
  <c r="BN45" i="31" s="1"/>
  <c r="BO45" i="31" s="1"/>
  <c r="T34" i="32"/>
  <c r="Y36" i="32"/>
  <c r="AT45" i="31"/>
  <c r="G44" i="32"/>
  <c r="Y8" i="32"/>
  <c r="K45" i="31"/>
  <c r="BO89" i="31"/>
  <c r="Y9" i="32"/>
  <c r="Z41" i="32"/>
  <c r="Y13" i="32"/>
  <c r="Z37" i="32"/>
  <c r="Z24" i="32"/>
  <c r="Z18" i="32"/>
  <c r="Z21" i="32"/>
  <c r="Y15" i="32"/>
  <c r="Z26" i="32"/>
  <c r="Y14" i="32"/>
  <c r="Y41" i="32"/>
  <c r="Z29" i="32"/>
  <c r="Y38" i="32"/>
  <c r="Y42" i="32"/>
  <c r="Z39" i="32"/>
  <c r="Z43" i="32"/>
  <c r="Z10" i="32"/>
  <c r="Z12" i="32"/>
  <c r="Z42" i="32"/>
  <c r="Z15" i="32"/>
  <c r="BV89" i="31"/>
  <c r="Y24" i="32"/>
  <c r="Z36" i="32"/>
  <c r="Z13" i="32"/>
  <c r="Y43" i="32"/>
  <c r="Z27" i="32"/>
  <c r="Y29" i="32"/>
  <c r="Y25" i="32"/>
  <c r="Z20" i="32"/>
  <c r="BA45" i="31"/>
  <c r="H44" i="32"/>
  <c r="Y17" i="32"/>
  <c r="Y12" i="32"/>
  <c r="Y10" i="32"/>
  <c r="Z11" i="32"/>
  <c r="Y32" i="32"/>
  <c r="Z30" i="32"/>
  <c r="Y26" i="32"/>
  <c r="L44" i="32"/>
  <c r="Y21" i="32"/>
  <c r="Z28" i="32"/>
  <c r="Z16" i="32"/>
  <c r="Y45" i="31"/>
  <c r="Y37" i="32"/>
  <c r="Y35" i="32"/>
  <c r="Y33" i="32"/>
  <c r="Y28" i="32"/>
  <c r="Z19" i="32"/>
  <c r="Z31" i="32"/>
  <c r="Z35" i="32"/>
  <c r="Z22" i="32"/>
  <c r="Y20" i="32"/>
  <c r="Y18" i="32"/>
  <c r="Y11" i="32"/>
  <c r="Z7" i="32"/>
  <c r="Z14" i="32"/>
  <c r="Y40" i="32"/>
  <c r="Y19" i="32"/>
  <c r="Y16" i="32"/>
  <c r="Z32" i="32"/>
  <c r="BH89" i="31"/>
  <c r="Z23" i="32"/>
  <c r="Z25" i="32"/>
  <c r="Y22" i="32"/>
  <c r="Y27" i="32"/>
  <c r="K44" i="32"/>
  <c r="I44" i="32"/>
  <c r="Z17" i="32"/>
  <c r="Z9" i="32"/>
  <c r="Y7" i="32"/>
  <c r="Z40" i="32"/>
  <c r="Y23" i="32"/>
  <c r="Z38" i="32"/>
  <c r="Y30" i="32"/>
  <c r="Y31" i="32"/>
  <c r="Z33" i="32"/>
  <c r="Y39" i="32"/>
  <c r="AM45" i="31"/>
  <c r="AS44" i="32"/>
  <c r="AR44" i="32"/>
  <c r="AC7" i="32"/>
  <c r="AD7" i="32"/>
  <c r="AE7" i="32"/>
  <c r="AB8" i="32"/>
  <c r="AD8" i="32"/>
  <c r="AB9" i="32"/>
  <c r="AD9" i="32"/>
  <c r="AC10" i="32"/>
  <c r="AD10" i="32"/>
  <c r="AE10" i="32"/>
  <c r="AB11" i="32"/>
  <c r="AC11" i="32"/>
  <c r="AD11" i="32"/>
  <c r="AE11" i="32"/>
  <c r="AB12" i="32"/>
  <c r="AD12" i="32"/>
  <c r="AB13" i="32"/>
  <c r="AD13" i="32"/>
  <c r="AC14" i="32"/>
  <c r="AD14" i="32"/>
  <c r="AE14" i="32"/>
  <c r="AB15" i="32"/>
  <c r="AC15" i="32"/>
  <c r="AD15" i="32"/>
  <c r="AE15" i="32"/>
  <c r="AB16" i="32"/>
  <c r="AD16" i="32"/>
  <c r="AB32" i="32"/>
  <c r="AD43" i="32"/>
  <c r="CH38" i="31"/>
  <c r="CK38" i="31"/>
  <c r="CN38" i="31"/>
  <c r="CQ38" i="31"/>
  <c r="AY7" i="32"/>
  <c r="AZ7" i="32"/>
  <c r="AY8" i="32"/>
  <c r="AZ8" i="32"/>
  <c r="AY9" i="32"/>
  <c r="AZ9" i="32"/>
  <c r="AY10" i="32"/>
  <c r="AZ10" i="32"/>
  <c r="AY11" i="32"/>
  <c r="AZ11" i="32"/>
  <c r="AY12" i="32"/>
  <c r="AZ12" i="32"/>
  <c r="AY13" i="32"/>
  <c r="AZ13" i="32"/>
  <c r="AY14" i="32"/>
  <c r="AZ14" i="32"/>
  <c r="AY15" i="32"/>
  <c r="AZ15" i="32"/>
  <c r="AY16" i="32"/>
  <c r="AZ16" i="32"/>
  <c r="AY17" i="32"/>
  <c r="AZ17" i="32"/>
  <c r="AY18" i="32"/>
  <c r="AZ18" i="32"/>
  <c r="AY19" i="32"/>
  <c r="AZ19" i="32"/>
  <c r="AY20" i="32"/>
  <c r="AZ20" i="32"/>
  <c r="AY21" i="32"/>
  <c r="AZ21" i="32"/>
  <c r="AY22" i="32"/>
  <c r="AZ22" i="32"/>
  <c r="AY23" i="32"/>
  <c r="AZ23" i="32"/>
  <c r="AY24" i="32"/>
  <c r="AZ24" i="32"/>
  <c r="AY25" i="32"/>
  <c r="AZ25" i="32"/>
  <c r="AY26" i="32"/>
  <c r="AZ26" i="32"/>
  <c r="AY27" i="32"/>
  <c r="AZ27" i="32"/>
  <c r="AY28" i="32"/>
  <c r="AZ28" i="32"/>
  <c r="AY29" i="32"/>
  <c r="AZ29" i="32"/>
  <c r="AY30" i="32"/>
  <c r="AZ30" i="32"/>
  <c r="AY31" i="32"/>
  <c r="AZ31" i="32"/>
  <c r="AY32" i="32"/>
  <c r="AZ32" i="32"/>
  <c r="AY33" i="32"/>
  <c r="AZ33" i="32"/>
  <c r="AY34" i="32"/>
  <c r="AZ34" i="32"/>
  <c r="AY35" i="32"/>
  <c r="AZ35" i="32"/>
  <c r="AY36" i="32"/>
  <c r="AZ36" i="32"/>
  <c r="AY37" i="32"/>
  <c r="AZ37" i="32"/>
  <c r="AY38" i="32"/>
  <c r="AZ38" i="32"/>
  <c r="AY39" i="32"/>
  <c r="AZ39" i="32"/>
  <c r="AY40" i="32"/>
  <c r="AZ40" i="32"/>
  <c r="AY41" i="32"/>
  <c r="AZ41" i="32"/>
  <c r="AY42" i="32"/>
  <c r="AZ42" i="32"/>
  <c r="AY43" i="32"/>
  <c r="AZ43" i="32"/>
  <c r="AZ6" i="32"/>
  <c r="AY6" i="32"/>
  <c r="CG89" i="31"/>
  <c r="CF89" i="31"/>
  <c r="J44" i="32" l="1"/>
  <c r="Z8" i="32"/>
  <c r="AA8" i="32" s="1"/>
  <c r="AA42" i="32"/>
  <c r="AA24" i="32"/>
  <c r="AA21" i="32"/>
  <c r="AA37" i="32"/>
  <c r="AA13" i="32"/>
  <c r="AA26" i="32"/>
  <c r="AA41" i="32"/>
  <c r="AA27" i="32"/>
  <c r="AA9" i="32"/>
  <c r="AA7" i="32"/>
  <c r="AA18" i="32"/>
  <c r="AA30" i="32"/>
  <c r="V34" i="32"/>
  <c r="Z34" i="32" s="1"/>
  <c r="AA36" i="32"/>
  <c r="AA14" i="32"/>
  <c r="AA10" i="32"/>
  <c r="AA29" i="32"/>
  <c r="AA28" i="32"/>
  <c r="AA38" i="32"/>
  <c r="AA25" i="32"/>
  <c r="AA12" i="32"/>
  <c r="AA43" i="32"/>
  <c r="AA15" i="32"/>
  <c r="AA35" i="32"/>
  <c r="AA33" i="32"/>
  <c r="AA32" i="32"/>
  <c r="AA20" i="32"/>
  <c r="AA19" i="32"/>
  <c r="AA40" i="32"/>
  <c r="AA31" i="32"/>
  <c r="AA16" i="32"/>
  <c r="AA11" i="32"/>
  <c r="AD40" i="32"/>
  <c r="AB39" i="32"/>
  <c r="AD36" i="32"/>
  <c r="AD29" i="32"/>
  <c r="AA39" i="32"/>
  <c r="AA22" i="32"/>
  <c r="AC21" i="32"/>
  <c r="AC17" i="32"/>
  <c r="AA17" i="32"/>
  <c r="AD38" i="32"/>
  <c r="AB30" i="32"/>
  <c r="AD27" i="32"/>
  <c r="AB26" i="32"/>
  <c r="AD23" i="32"/>
  <c r="AD42" i="32"/>
  <c r="AF11" i="32"/>
  <c r="AG43" i="32"/>
  <c r="AF7" i="32"/>
  <c r="AF16" i="32"/>
  <c r="AF12" i="32"/>
  <c r="AC41" i="32"/>
  <c r="AG39" i="32"/>
  <c r="AC37" i="32"/>
  <c r="AC30" i="32"/>
  <c r="AG24" i="32"/>
  <c r="AG13" i="32"/>
  <c r="AG9" i="32"/>
  <c r="AF8" i="32"/>
  <c r="AG14" i="32"/>
  <c r="AG10" i="32"/>
  <c r="AA23" i="32"/>
  <c r="AF14" i="32"/>
  <c r="AF10" i="32"/>
  <c r="AF37" i="32"/>
  <c r="AF30" i="32"/>
  <c r="AF15" i="32"/>
  <c r="AE36" i="32"/>
  <c r="AB42" i="32"/>
  <c r="AF40" i="32"/>
  <c r="AD22" i="32"/>
  <c r="AG36" i="32"/>
  <c r="AG33" i="32"/>
  <c r="AG21" i="32"/>
  <c r="AD39" i="32"/>
  <c r="AB38" i="32"/>
  <c r="AB35" i="32"/>
  <c r="AF33" i="32"/>
  <c r="AF29" i="32"/>
  <c r="AF25" i="32"/>
  <c r="AF21" i="32"/>
  <c r="AD25" i="32"/>
  <c r="AB24" i="32"/>
  <c r="AB22" i="32"/>
  <c r="AD32" i="32"/>
  <c r="AD19" i="32"/>
  <c r="AB18" i="32"/>
  <c r="AF22" i="32"/>
  <c r="AE41" i="32"/>
  <c r="AE37" i="32"/>
  <c r="AE34" i="32"/>
  <c r="AC33" i="32"/>
  <c r="AE30" i="32"/>
  <c r="AE26" i="32"/>
  <c r="AC25" i="32"/>
  <c r="AE22" i="32"/>
  <c r="AE17" i="32"/>
  <c r="AF38" i="32"/>
  <c r="AD37" i="32"/>
  <c r="AF35" i="32"/>
  <c r="AD34" i="32"/>
  <c r="AD30" i="32"/>
  <c r="AF27" i="32"/>
  <c r="AD26" i="32"/>
  <c r="AB20" i="32"/>
  <c r="AF18" i="32"/>
  <c r="BX45" i="31"/>
  <c r="AB41" i="32"/>
  <c r="AB37" i="32"/>
  <c r="AC36" i="32"/>
  <c r="AE33" i="32"/>
  <c r="AB31" i="32"/>
  <c r="AG28" i="32"/>
  <c r="AE21" i="32"/>
  <c r="AD20" i="32"/>
  <c r="AG17" i="32"/>
  <c r="AG40" i="32"/>
  <c r="AF34" i="32"/>
  <c r="AD33" i="32"/>
  <c r="AG29" i="32"/>
  <c r="AC26" i="32"/>
  <c r="AF23" i="32"/>
  <c r="AD21" i="32"/>
  <c r="AB19" i="32"/>
  <c r="AF17" i="32"/>
  <c r="AB43" i="32"/>
  <c r="AE40" i="32"/>
  <c r="AE29" i="32"/>
  <c r="AD28" i="32"/>
  <c r="AG25" i="32"/>
  <c r="AC22" i="32"/>
  <c r="AD17" i="32"/>
  <c r="AF41" i="32"/>
  <c r="AC34" i="32"/>
  <c r="AF31" i="32"/>
  <c r="AB27" i="32"/>
  <c r="AE18" i="32"/>
  <c r="AC40" i="32"/>
  <c r="AF36" i="32"/>
  <c r="AD35" i="32"/>
  <c r="AB34" i="32"/>
  <c r="AG32" i="32"/>
  <c r="AC29" i="32"/>
  <c r="AB28" i="32"/>
  <c r="AE25" i="32"/>
  <c r="AD24" i="32"/>
  <c r="AB23" i="32"/>
  <c r="AG20" i="32"/>
  <c r="AF19" i="32"/>
  <c r="AD18" i="32"/>
  <c r="AF42" i="32"/>
  <c r="AD41" i="32"/>
  <c r="AD31" i="32"/>
  <c r="AF26" i="32"/>
  <c r="AC18" i="32"/>
  <c r="AL40" i="32"/>
  <c r="AJ6" i="32"/>
  <c r="AH43" i="32"/>
  <c r="AO42" i="32"/>
  <c r="AH42" i="32"/>
  <c r="AN41" i="32"/>
  <c r="AN40" i="32"/>
  <c r="AO39" i="32"/>
  <c r="AJ38" i="32"/>
  <c r="AH37" i="32"/>
  <c r="AI36" i="32"/>
  <c r="AL35" i="32"/>
  <c r="AJ34" i="32"/>
  <c r="AJ33" i="32"/>
  <c r="AL32" i="32"/>
  <c r="AF32" i="32"/>
  <c r="AL30" i="32"/>
  <c r="AL29" i="32"/>
  <c r="AH28" i="32"/>
  <c r="AO27" i="32"/>
  <c r="AH27" i="32"/>
  <c r="AN26" i="32"/>
  <c r="AN25" i="32"/>
  <c r="AO24" i="32"/>
  <c r="AJ23" i="32"/>
  <c r="AH22" i="32"/>
  <c r="AI21" i="32"/>
  <c r="AK20" i="32"/>
  <c r="AL19" i="32"/>
  <c r="AJ18" i="32"/>
  <c r="AJ17" i="32"/>
  <c r="AL15" i="32"/>
  <c r="AL14" i="32"/>
  <c r="AH13" i="32"/>
  <c r="AO12" i="32"/>
  <c r="AH12" i="32"/>
  <c r="AN11" i="32"/>
  <c r="AN10" i="32"/>
  <c r="AO9" i="32"/>
  <c r="AI9" i="32"/>
  <c r="AO8" i="32"/>
  <c r="AH8" i="32"/>
  <c r="AN7" i="32"/>
  <c r="AL6" i="32"/>
  <c r="AJ29" i="32"/>
  <c r="AK6" i="32"/>
  <c r="AM43" i="32"/>
  <c r="AN42" i="32"/>
  <c r="AG42" i="32"/>
  <c r="AM41" i="32"/>
  <c r="AM40" i="32"/>
  <c r="AN39" i="32"/>
  <c r="AI39" i="32"/>
  <c r="AI38" i="32"/>
  <c r="AO37" i="32"/>
  <c r="AG37" i="32"/>
  <c r="AO36" i="32"/>
  <c r="AH36" i="32"/>
  <c r="AB36" i="32"/>
  <c r="AK35" i="32"/>
  <c r="AC35" i="32"/>
  <c r="AI34" i="32"/>
  <c r="AE32" i="32"/>
  <c r="AM31" i="32"/>
  <c r="AE31" i="32"/>
  <c r="AK30" i="32"/>
  <c r="AK29" i="32"/>
  <c r="AM28" i="32"/>
  <c r="AN27" i="32"/>
  <c r="AG27" i="32"/>
  <c r="AM26" i="32"/>
  <c r="AM25" i="32"/>
  <c r="AN24" i="32"/>
  <c r="AI24" i="32"/>
  <c r="AI23" i="32"/>
  <c r="AO22" i="32"/>
  <c r="AG22" i="32"/>
  <c r="AO21" i="32"/>
  <c r="AH21" i="32"/>
  <c r="AB21" i="32"/>
  <c r="AJ20" i="32"/>
  <c r="AC20" i="32"/>
  <c r="AK19" i="32"/>
  <c r="AC19" i="32"/>
  <c r="AI18" i="32"/>
  <c r="AM16" i="32"/>
  <c r="AE16" i="32"/>
  <c r="AK15" i="32"/>
  <c r="AK14" i="32"/>
  <c r="AM13" i="32"/>
  <c r="AN12" i="32"/>
  <c r="AG12" i="32"/>
  <c r="AM11" i="32"/>
  <c r="AM10" i="32"/>
  <c r="AN9" i="32"/>
  <c r="AH9" i="32"/>
  <c r="AN8" i="32"/>
  <c r="AG8" i="32"/>
  <c r="AM7" i="32"/>
  <c r="AL43" i="32"/>
  <c r="AF43" i="32"/>
  <c r="AH38" i="32"/>
  <c r="AJ35" i="32"/>
  <c r="AK32" i="32"/>
  <c r="AH24" i="32"/>
  <c r="AO23" i="32"/>
  <c r="AH23" i="32"/>
  <c r="AN21" i="32"/>
  <c r="AO20" i="32"/>
  <c r="AH18" i="32"/>
  <c r="AJ15" i="32"/>
  <c r="AJ14" i="32"/>
  <c r="AL13" i="32"/>
  <c r="AF13" i="32"/>
  <c r="AL11" i="32"/>
  <c r="AL10" i="32"/>
  <c r="AL7" i="32"/>
  <c r="AM6" i="32"/>
  <c r="AE43" i="32"/>
  <c r="AM42" i="32"/>
  <c r="AE42" i="32"/>
  <c r="AK41" i="32"/>
  <c r="AK40" i="32"/>
  <c r="AM39" i="32"/>
  <c r="AN38" i="32"/>
  <c r="AG38" i="32"/>
  <c r="AM37" i="32"/>
  <c r="AM36" i="32"/>
  <c r="AI35" i="32"/>
  <c r="AO34" i="32"/>
  <c r="AG34" i="32"/>
  <c r="AO33" i="32"/>
  <c r="AH33" i="32"/>
  <c r="AB33" i="32"/>
  <c r="AJ32" i="32"/>
  <c r="AC32" i="32"/>
  <c r="AK31" i="32"/>
  <c r="AC31" i="32"/>
  <c r="AI30" i="32"/>
  <c r="AE28" i="32"/>
  <c r="AM27" i="32"/>
  <c r="AE27" i="32"/>
  <c r="AK26" i="32"/>
  <c r="AK25" i="32"/>
  <c r="AM24" i="32"/>
  <c r="AN23" i="32"/>
  <c r="AG23" i="32"/>
  <c r="AM22" i="32"/>
  <c r="AM21" i="32"/>
  <c r="AN20" i="32"/>
  <c r="AI20" i="32"/>
  <c r="AI19" i="32"/>
  <c r="AO18" i="32"/>
  <c r="AG18" i="32"/>
  <c r="AO17" i="32"/>
  <c r="AH17" i="32"/>
  <c r="AB17" i="32"/>
  <c r="AK16" i="32"/>
  <c r="AC16" i="32"/>
  <c r="AI15" i="32"/>
  <c r="AE13" i="32"/>
  <c r="AM12" i="32"/>
  <c r="AE12" i="32"/>
  <c r="AK11" i="32"/>
  <c r="AK10" i="32"/>
  <c r="AM9" i="32"/>
  <c r="AF9" i="32"/>
  <c r="AM8" i="32"/>
  <c r="AE8" i="32"/>
  <c r="AK7" i="32"/>
  <c r="AL41" i="32"/>
  <c r="AI33" i="32"/>
  <c r="AF28" i="32"/>
  <c r="AL26" i="32"/>
  <c r="AI17" i="32"/>
  <c r="AL16" i="32"/>
  <c r="AN6" i="32"/>
  <c r="AK43" i="32"/>
  <c r="AL42" i="32"/>
  <c r="AJ41" i="32"/>
  <c r="AJ40" i="32"/>
  <c r="AL39" i="32"/>
  <c r="AF39" i="32"/>
  <c r="AL37" i="32"/>
  <c r="AL36" i="32"/>
  <c r="AO35" i="32"/>
  <c r="AH35" i="32"/>
  <c r="AN34" i="32"/>
  <c r="AN33" i="32"/>
  <c r="AO32" i="32"/>
  <c r="AJ31" i="32"/>
  <c r="AH30" i="32"/>
  <c r="AI29" i="32"/>
  <c r="AK28" i="32"/>
  <c r="AL27" i="32"/>
  <c r="AJ26" i="32"/>
  <c r="AJ25" i="32"/>
  <c r="AL24" i="32"/>
  <c r="AF24" i="32"/>
  <c r="AL22" i="32"/>
  <c r="AL21" i="32"/>
  <c r="AH20" i="32"/>
  <c r="AO19" i="32"/>
  <c r="AH19" i="32"/>
  <c r="AN18" i="32"/>
  <c r="AN17" i="32"/>
  <c r="AJ16" i="32"/>
  <c r="AH15" i="32"/>
  <c r="AI14" i="32"/>
  <c r="AK13" i="32"/>
  <c r="AL12" i="32"/>
  <c r="AJ11" i="32"/>
  <c r="AJ10" i="32"/>
  <c r="AL9" i="32"/>
  <c r="AE9" i="32"/>
  <c r="AL8" i="32"/>
  <c r="AJ7" i="32"/>
  <c r="AO38" i="32"/>
  <c r="AN36" i="32"/>
  <c r="AH34" i="32"/>
  <c r="AJ30" i="32"/>
  <c r="AL28" i="32"/>
  <c r="AL25" i="32"/>
  <c r="AN22" i="32"/>
  <c r="AJ19" i="32"/>
  <c r="AO6" i="32"/>
  <c r="AJ43" i="32"/>
  <c r="AC43" i="32"/>
  <c r="AK42" i="32"/>
  <c r="AC42" i="32"/>
  <c r="AI41" i="32"/>
  <c r="AE39" i="32"/>
  <c r="AM38" i="32"/>
  <c r="AE38" i="32"/>
  <c r="AK37" i="32"/>
  <c r="AK36" i="32"/>
  <c r="AN35" i="32"/>
  <c r="AG35" i="32"/>
  <c r="AM34" i="32"/>
  <c r="AM33" i="32"/>
  <c r="AN32" i="32"/>
  <c r="AI32" i="32"/>
  <c r="AI31" i="32"/>
  <c r="AO30" i="32"/>
  <c r="AG30" i="32"/>
  <c r="AO29" i="32"/>
  <c r="AH29" i="32"/>
  <c r="AB29" i="32"/>
  <c r="AJ28" i="32"/>
  <c r="AC28" i="32"/>
  <c r="AK27" i="32"/>
  <c r="AC27" i="32"/>
  <c r="AI26" i="32"/>
  <c r="AE24" i="32"/>
  <c r="AM23" i="32"/>
  <c r="AE23" i="32"/>
  <c r="AK22" i="32"/>
  <c r="AK21" i="32"/>
  <c r="AM20" i="32"/>
  <c r="AN19" i="32"/>
  <c r="AG19" i="32"/>
  <c r="AM18" i="32"/>
  <c r="AM17" i="32"/>
  <c r="AI16" i="32"/>
  <c r="AO15" i="32"/>
  <c r="AG15" i="32"/>
  <c r="AO14" i="32"/>
  <c r="AH14" i="32"/>
  <c r="AB14" i="32"/>
  <c r="AJ13" i="32"/>
  <c r="AC13" i="32"/>
  <c r="AK12" i="32"/>
  <c r="AC12" i="32"/>
  <c r="AI11" i="32"/>
  <c r="AK9" i="32"/>
  <c r="AK8" i="32"/>
  <c r="AC8" i="32"/>
  <c r="AI7" i="32"/>
  <c r="AB7" i="32"/>
  <c r="AO43" i="32"/>
  <c r="AH41" i="32"/>
  <c r="AI40" i="32"/>
  <c r="AK39" i="32"/>
  <c r="AL38" i="32"/>
  <c r="AJ37" i="32"/>
  <c r="AJ36" i="32"/>
  <c r="AL34" i="32"/>
  <c r="AL33" i="32"/>
  <c r="AH32" i="32"/>
  <c r="AO31" i="32"/>
  <c r="AH31" i="32"/>
  <c r="AN30" i="32"/>
  <c r="AN29" i="32"/>
  <c r="AO28" i="32"/>
  <c r="AJ27" i="32"/>
  <c r="AH26" i="32"/>
  <c r="AI25" i="32"/>
  <c r="AK24" i="32"/>
  <c r="AL23" i="32"/>
  <c r="AJ22" i="32"/>
  <c r="AJ21" i="32"/>
  <c r="AL20" i="32"/>
  <c r="AF20" i="32"/>
  <c r="AL18" i="32"/>
  <c r="AL17" i="32"/>
  <c r="AO16" i="32"/>
  <c r="AH16" i="32"/>
  <c r="AN15" i="32"/>
  <c r="AN14" i="32"/>
  <c r="AO13" i="32"/>
  <c r="AJ12" i="32"/>
  <c r="AH11" i="32"/>
  <c r="AI10" i="32"/>
  <c r="AJ9" i="32"/>
  <c r="AC9" i="32"/>
  <c r="AJ8" i="32"/>
  <c r="AH7" i="32"/>
  <c r="AH39" i="32"/>
  <c r="AN37" i="32"/>
  <c r="AL31" i="32"/>
  <c r="AJ42" i="32"/>
  <c r="AN43" i="32"/>
  <c r="AI43" i="32"/>
  <c r="AI42" i="32"/>
  <c r="AO41" i="32"/>
  <c r="AG41" i="32"/>
  <c r="AO40" i="32"/>
  <c r="AH40" i="32"/>
  <c r="AB40" i="32"/>
  <c r="AJ39" i="32"/>
  <c r="AC39" i="32"/>
  <c r="AK38" i="32"/>
  <c r="AC38" i="32"/>
  <c r="AI37" i="32"/>
  <c r="AM35" i="32"/>
  <c r="AE35" i="32"/>
  <c r="AK34" i="32"/>
  <c r="AK33" i="32"/>
  <c r="AM32" i="32"/>
  <c r="AN31" i="32"/>
  <c r="AG31" i="32"/>
  <c r="AM30" i="32"/>
  <c r="AM29" i="32"/>
  <c r="AN28" i="32"/>
  <c r="AI28" i="32"/>
  <c r="AI27" i="32"/>
  <c r="AO26" i="32"/>
  <c r="AG26" i="32"/>
  <c r="AO25" i="32"/>
  <c r="AH25" i="32"/>
  <c r="AB25" i="32"/>
  <c r="AJ24" i="32"/>
  <c r="AC24" i="32"/>
  <c r="AK23" i="32"/>
  <c r="AC23" i="32"/>
  <c r="AI22" i="32"/>
  <c r="AE20" i="32"/>
  <c r="AM19" i="32"/>
  <c r="AE19" i="32"/>
  <c r="AK18" i="32"/>
  <c r="AK17" i="32"/>
  <c r="AN16" i="32"/>
  <c r="AG16" i="32"/>
  <c r="AM15" i="32"/>
  <c r="AM14" i="32"/>
  <c r="AN13" i="32"/>
  <c r="AI13" i="32"/>
  <c r="AI12" i="32"/>
  <c r="AO11" i="32"/>
  <c r="AG11" i="32"/>
  <c r="AO10" i="32"/>
  <c r="AH10" i="32"/>
  <c r="AB10" i="32"/>
  <c r="AI8" i="32"/>
  <c r="AO7" i="32"/>
  <c r="AG7" i="32"/>
  <c r="CH89" i="31"/>
  <c r="BP45" i="31" l="1"/>
  <c r="BT45" i="31" s="1"/>
  <c r="BV45" i="31" s="1"/>
  <c r="AV38" i="32"/>
  <c r="AW22" i="32"/>
  <c r="AW24" i="32"/>
  <c r="AW40" i="32"/>
  <c r="AV26" i="32"/>
  <c r="AW10" i="32"/>
  <c r="AV20" i="32"/>
  <c r="AV27" i="32"/>
  <c r="AV35" i="32"/>
  <c r="AV42" i="32"/>
  <c r="AV11" i="32"/>
  <c r="AW15" i="32"/>
  <c r="AV15" i="32"/>
  <c r="AV24" i="32"/>
  <c r="AW11" i="32"/>
  <c r="AV37" i="32"/>
  <c r="AW26" i="32"/>
  <c r="AW37" i="32"/>
  <c r="AW30" i="32"/>
  <c r="AW7" i="32"/>
  <c r="AW18" i="32"/>
  <c r="AW34" i="32"/>
  <c r="AW25" i="32"/>
  <c r="AV41" i="32"/>
  <c r="AV43" i="32"/>
  <c r="AW36" i="32"/>
  <c r="AV10" i="32"/>
  <c r="AV31" i="32"/>
  <c r="AW23" i="32"/>
  <c r="AV12" i="32"/>
  <c r="AW21" i="32"/>
  <c r="AV25" i="32"/>
  <c r="AV28" i="32"/>
  <c r="AW41" i="32"/>
  <c r="AV16" i="32"/>
  <c r="AV13" i="32"/>
  <c r="AW29" i="32"/>
  <c r="AV23" i="32"/>
  <c r="AV34" i="32"/>
  <c r="AW14" i="32"/>
  <c r="AV19" i="32"/>
  <c r="AW17" i="32"/>
  <c r="AV18" i="32"/>
  <c r="AV22" i="32"/>
  <c r="AV32" i="32"/>
  <c r="AV8" i="32"/>
  <c r="AV30" i="32"/>
  <c r="AV39" i="32"/>
  <c r="AV9" i="32"/>
  <c r="AW33" i="32"/>
  <c r="AW13" i="32"/>
  <c r="AW28" i="32"/>
  <c r="AW43" i="32"/>
  <c r="AW39" i="32"/>
  <c r="AW9" i="32"/>
  <c r="AW8" i="32"/>
  <c r="AJ44" i="32"/>
  <c r="AW20" i="32"/>
  <c r="AV7" i="32"/>
  <c r="AW12" i="32"/>
  <c r="AV14" i="32"/>
  <c r="AW27" i="32"/>
  <c r="AV29" i="32"/>
  <c r="AW42" i="32"/>
  <c r="AW32" i="32"/>
  <c r="AW38" i="32"/>
  <c r="AV40" i="32"/>
  <c r="AW16" i="32"/>
  <c r="AV17" i="32"/>
  <c r="AW31" i="32"/>
  <c r="AV33" i="32"/>
  <c r="AK44" i="32"/>
  <c r="AW19" i="32"/>
  <c r="AV21" i="32"/>
  <c r="AW35" i="32"/>
  <c r="AV36" i="32"/>
  <c r="CD89" i="31"/>
  <c r="CC89" i="31"/>
  <c r="W34" i="32" l="1"/>
  <c r="Y34" i="32" s="1"/>
  <c r="AA34" i="32" l="1"/>
  <c r="BW45" i="31"/>
  <c r="BY45" i="31" s="1"/>
  <c r="CC45" i="31"/>
  <c r="CA45" i="31"/>
  <c r="CB45" i="31" s="1"/>
  <c r="BI24" i="32"/>
  <c r="BH24" i="32"/>
  <c r="BG24" i="32"/>
  <c r="BF24" i="32"/>
  <c r="BE24" i="32"/>
  <c r="BD24" i="32"/>
  <c r="BC24" i="32"/>
  <c r="BB24" i="32"/>
  <c r="BI23" i="32"/>
  <c r="BH23" i="32"/>
  <c r="BG23" i="32"/>
  <c r="BF23" i="32"/>
  <c r="BE23" i="32"/>
  <c r="BD23" i="32"/>
  <c r="BC23" i="32"/>
  <c r="BB23" i="32"/>
  <c r="BI22" i="32"/>
  <c r="BH22" i="32"/>
  <c r="BG22" i="32"/>
  <c r="BF22" i="32"/>
  <c r="BE22" i="32"/>
  <c r="BD22" i="32"/>
  <c r="BC22" i="32"/>
  <c r="BB22" i="32"/>
  <c r="BI21" i="32"/>
  <c r="BH21" i="32"/>
  <c r="BG21" i="32"/>
  <c r="BF21" i="32"/>
  <c r="BE21" i="32"/>
  <c r="BD21" i="32"/>
  <c r="BC21" i="32"/>
  <c r="BB21" i="32"/>
  <c r="BI20" i="32"/>
  <c r="BH20" i="32"/>
  <c r="BG20" i="32"/>
  <c r="BF20" i="32"/>
  <c r="BE20" i="32"/>
  <c r="BD20" i="32"/>
  <c r="BC20" i="32"/>
  <c r="BB20" i="32"/>
  <c r="BI19" i="32"/>
  <c r="BH19" i="32"/>
  <c r="BG19" i="32"/>
  <c r="BF19" i="32"/>
  <c r="BE19" i="32"/>
  <c r="BD19" i="32"/>
  <c r="BC19" i="32"/>
  <c r="BB19" i="32"/>
  <c r="AX89" i="31"/>
  <c r="AW89" i="31"/>
  <c r="AV89" i="31"/>
  <c r="AU89" i="31"/>
  <c r="AQ89" i="31"/>
  <c r="AP89" i="31"/>
  <c r="AO89" i="31"/>
  <c r="AN89" i="31"/>
  <c r="AJ89" i="31"/>
  <c r="AI89" i="31"/>
  <c r="AH89" i="31"/>
  <c r="AG89" i="31"/>
  <c r="AC89" i="31"/>
  <c r="AB89" i="31"/>
  <c r="AA89" i="31"/>
  <c r="Z89" i="31"/>
  <c r="V89" i="31"/>
  <c r="U89" i="31"/>
  <c r="T89" i="31"/>
  <c r="S89" i="31"/>
  <c r="O89" i="31"/>
  <c r="N89" i="31"/>
  <c r="M89" i="31"/>
  <c r="L89" i="31"/>
  <c r="H89" i="31"/>
  <c r="G89" i="31"/>
  <c r="F89" i="31"/>
  <c r="E89" i="31"/>
  <c r="AE6" i="32"/>
  <c r="AD6" i="32"/>
  <c r="AC6" i="32"/>
  <c r="CD45" i="31" l="1"/>
  <c r="CE45" i="31" s="1"/>
  <c r="AK89" i="31"/>
  <c r="AY89" i="31"/>
  <c r="J89" i="31"/>
  <c r="AF6" i="32"/>
  <c r="BK24" i="32"/>
  <c r="BA21" i="32"/>
  <c r="AI6" i="32"/>
  <c r="AG6" i="32"/>
  <c r="AH6" i="32"/>
  <c r="AB6" i="32"/>
  <c r="AS89" i="31"/>
  <c r="BK23" i="32"/>
  <c r="W89" i="31"/>
  <c r="BA24" i="32"/>
  <c r="AZ89" i="31"/>
  <c r="P89" i="31"/>
  <c r="AD89" i="31"/>
  <c r="BK22" i="32"/>
  <c r="BK20" i="32"/>
  <c r="BA23" i="32"/>
  <c r="BJ24" i="32"/>
  <c r="BA22" i="32"/>
  <c r="BA19" i="32"/>
  <c r="BJ21" i="32"/>
  <c r="BK21" i="32"/>
  <c r="BA20" i="32"/>
  <c r="BJ19" i="32"/>
  <c r="BJ22" i="32"/>
  <c r="BK19" i="32"/>
  <c r="BJ20" i="32"/>
  <c r="BJ23" i="32"/>
  <c r="X89" i="31"/>
  <c r="AL89" i="31"/>
  <c r="Q89" i="31"/>
  <c r="AE89" i="31"/>
  <c r="AR89" i="31"/>
  <c r="I89" i="31"/>
  <c r="AW6" i="32" l="1"/>
  <c r="AV6" i="32"/>
  <c r="BL24" i="32"/>
  <c r="K89" i="31"/>
  <c r="AM89" i="31"/>
  <c r="BA89" i="31"/>
  <c r="BL23" i="32"/>
  <c r="Y89" i="31"/>
  <c r="CB89" i="31"/>
  <c r="BL21" i="32"/>
  <c r="AT89" i="31"/>
  <c r="AF89" i="31"/>
  <c r="BO19" i="32"/>
  <c r="R89" i="31"/>
  <c r="BL20" i="32"/>
  <c r="BL19" i="32"/>
  <c r="BN19" i="32"/>
  <c r="BL22" i="32"/>
  <c r="BY89" i="31"/>
  <c r="BN20" i="32" l="1"/>
  <c r="BO22" i="32"/>
  <c r="BO24" i="32"/>
  <c r="BN24" i="32"/>
  <c r="BO23" i="32"/>
  <c r="BP19" i="32"/>
  <c r="BN22" i="32"/>
  <c r="BO20" i="32"/>
  <c r="BN21" i="32"/>
  <c r="BO21" i="32"/>
  <c r="BN23" i="32"/>
  <c r="CE89" i="31"/>
  <c r="AX19" i="32"/>
  <c r="AX23" i="32"/>
  <c r="AX22" i="32"/>
  <c r="AX24" i="32"/>
  <c r="AX21" i="32"/>
  <c r="AX20" i="32"/>
  <c r="BP22" i="32" l="1"/>
  <c r="BP21" i="32"/>
  <c r="BP20" i="32"/>
  <c r="BP23" i="32"/>
  <c r="BP24" i="32"/>
  <c r="BB8" i="32"/>
  <c r="AX38" i="32" l="1"/>
  <c r="AX8" i="32"/>
  <c r="AX31" i="32"/>
  <c r="AX7" i="32"/>
  <c r="AX32" i="32"/>
  <c r="AX12" i="32"/>
  <c r="AX41" i="32"/>
  <c r="AX13" i="32"/>
  <c r="AX37" i="32"/>
  <c r="AX25" i="32"/>
  <c r="AX14" i="32"/>
  <c r="AX11" i="32"/>
  <c r="AX35" i="32"/>
  <c r="AX9" i="32"/>
  <c r="AX39" i="32"/>
  <c r="AX10" i="32"/>
  <c r="AX42" i="32"/>
  <c r="AX16" i="32"/>
  <c r="AX27" i="32"/>
  <c r="AX26" i="32"/>
  <c r="AX17" i="32"/>
  <c r="AX43" i="32"/>
  <c r="AX30" i="32"/>
  <c r="AX34" i="32"/>
  <c r="AX40" i="32"/>
  <c r="AX28" i="32"/>
  <c r="AX15" i="32"/>
  <c r="AX18" i="32"/>
  <c r="AX36" i="32"/>
  <c r="AX33" i="32"/>
  <c r="AX29" i="32" l="1"/>
  <c r="CP45" i="31" l="1"/>
  <c r="CO45" i="31"/>
  <c r="CM45" i="31"/>
  <c r="CL45" i="31"/>
  <c r="CJ45" i="31"/>
  <c r="CI45" i="31"/>
  <c r="CG45" i="31"/>
  <c r="CF45" i="31"/>
  <c r="CN45" i="31" l="1"/>
  <c r="CK45" i="31"/>
  <c r="CQ45" i="31"/>
  <c r="CH45" i="31"/>
  <c r="BA27" i="32" l="1"/>
  <c r="BA16" i="32"/>
  <c r="BH38" i="32"/>
  <c r="BH31" i="32"/>
  <c r="BG6" i="32"/>
  <c r="BB26" i="32"/>
  <c r="BI7" i="32"/>
  <c r="BD37" i="32"/>
  <c r="BF10" i="32"/>
  <c r="BB39" i="32"/>
  <c r="BD36" i="32"/>
  <c r="BF11" i="32"/>
  <c r="BC30" i="32"/>
  <c r="BI39" i="32"/>
  <c r="BE17" i="32"/>
  <c r="BG25" i="32"/>
  <c r="BC43" i="32"/>
  <c r="BD26" i="32"/>
  <c r="BD30" i="32"/>
  <c r="BH35" i="32"/>
  <c r="BE30" i="32"/>
  <c r="BG13" i="32"/>
  <c r="BG30" i="32"/>
  <c r="BE9" i="32"/>
  <c r="BG34" i="32"/>
  <c r="BC37" i="32"/>
  <c r="BD16" i="32"/>
  <c r="BC14" i="32"/>
  <c r="BG37" i="32"/>
  <c r="BD17" i="32"/>
  <c r="BI26" i="32"/>
  <c r="BD38" i="32"/>
  <c r="BC8" i="32"/>
  <c r="BD42" i="32"/>
  <c r="BF25" i="32"/>
  <c r="BG11" i="32"/>
  <c r="BF32" i="32"/>
  <c r="BD35" i="32"/>
  <c r="BE11" i="32"/>
  <c r="BH40" i="32"/>
  <c r="BF9" i="32"/>
  <c r="BE33" i="32"/>
  <c r="BG42" i="32"/>
  <c r="BE40" i="32"/>
  <c r="BH33" i="32"/>
  <c r="BB40" i="32"/>
  <c r="BI28" i="32"/>
  <c r="BE13" i="32"/>
  <c r="BH37" i="32"/>
  <c r="BH42" i="32"/>
  <c r="BB28" i="32"/>
  <c r="BE10" i="32"/>
  <c r="BF42" i="32"/>
  <c r="BF6" i="32"/>
  <c r="BG15" i="32"/>
  <c r="BI32" i="32"/>
  <c r="BG10" i="32"/>
  <c r="BF27" i="32"/>
  <c r="BB25" i="32"/>
  <c r="BD27" i="32"/>
  <c r="BI18" i="32"/>
  <c r="BB36" i="32"/>
  <c r="BE26" i="32"/>
  <c r="BB32" i="32"/>
  <c r="BH9" i="32"/>
  <c r="BH27" i="32"/>
  <c r="BI13" i="32"/>
  <c r="BE36" i="32"/>
  <c r="BG27" i="32"/>
  <c r="BI31" i="32"/>
  <c r="BC28" i="32"/>
  <c r="BG17" i="32"/>
  <c r="BC10" i="32"/>
  <c r="BB38" i="32"/>
  <c r="BG16" i="32"/>
  <c r="BC36" i="32"/>
  <c r="BE8" i="32"/>
  <c r="BH29" i="32"/>
  <c r="BD12" i="32"/>
  <c r="BB16" i="32"/>
  <c r="BD7" i="32"/>
  <c r="BE28" i="32"/>
  <c r="BG7" i="32"/>
  <c r="BE32" i="32"/>
  <c r="BB13" i="32"/>
  <c r="BC11" i="32"/>
  <c r="BI12" i="32"/>
  <c r="BD8" i="32"/>
  <c r="BE38" i="32"/>
  <c r="BD34" i="32"/>
  <c r="BC29" i="32"/>
  <c r="BI27" i="32"/>
  <c r="BB27" i="32"/>
  <c r="BE31" i="32"/>
  <c r="BF37" i="32"/>
  <c r="BB17" i="32"/>
  <c r="BH15" i="32"/>
  <c r="BC7" i="32"/>
  <c r="BE15" i="32"/>
  <c r="BH18" i="32"/>
  <c r="BC41" i="32"/>
  <c r="BH41" i="32"/>
  <c r="BC31" i="32"/>
  <c r="BE14" i="32"/>
  <c r="BG26" i="32"/>
  <c r="BI36" i="32"/>
  <c r="BF41" i="32"/>
  <c r="BI41" i="32"/>
  <c r="BF29" i="32"/>
  <c r="BI40" i="32"/>
  <c r="BI15" i="32"/>
  <c r="BG9" i="32"/>
  <c r="BD14" i="32"/>
  <c r="BG18" i="32"/>
  <c r="BI29" i="32"/>
  <c r="BF30" i="32"/>
  <c r="BE41" i="32"/>
  <c r="BI30" i="32"/>
  <c r="BH11" i="32"/>
  <c r="BC40" i="32"/>
  <c r="BI25" i="32"/>
  <c r="BE29" i="32"/>
  <c r="BG36" i="32"/>
  <c r="BI16" i="32"/>
  <c r="BH36" i="32"/>
  <c r="BI34" i="32"/>
  <c r="BB14" i="32"/>
  <c r="BC38" i="32"/>
  <c r="BF13" i="32"/>
  <c r="BE37" i="32"/>
  <c r="BF43" i="32"/>
  <c r="BD25" i="32"/>
  <c r="BC16" i="32"/>
  <c r="BH8" i="32"/>
  <c r="BI14" i="32"/>
  <c r="BI17" i="32"/>
  <c r="BD9" i="32"/>
  <c r="BF38" i="32"/>
  <c r="BD33" i="32"/>
  <c r="BD29" i="32"/>
  <c r="BB37" i="32"/>
  <c r="BF15" i="32"/>
  <c r="BB41" i="32"/>
  <c r="BH16" i="32"/>
  <c r="BB7" i="32"/>
  <c r="BF7" i="32"/>
  <c r="BG14" i="32"/>
  <c r="BE27" i="32"/>
  <c r="BB10" i="32"/>
  <c r="BC13" i="32"/>
  <c r="BH25" i="32"/>
  <c r="BG28" i="32"/>
  <c r="BC35" i="32"/>
  <c r="BF36" i="32"/>
  <c r="BH14" i="32"/>
  <c r="BD6" i="32"/>
  <c r="BH28" i="32"/>
  <c r="BH12" i="32"/>
  <c r="BI11" i="32"/>
  <c r="BB9" i="32"/>
  <c r="BF16" i="32"/>
  <c r="BC32" i="32"/>
  <c r="BI9" i="32"/>
  <c r="BF18" i="32"/>
  <c r="BB35" i="32"/>
  <c r="BC33" i="32"/>
  <c r="BF28" i="32"/>
  <c r="BG12" i="32"/>
  <c r="BC39" i="32"/>
  <c r="BF8" i="32"/>
  <c r="BH13" i="32"/>
  <c r="BB11" i="32"/>
  <c r="BD15" i="32"/>
  <c r="BG38" i="32"/>
  <c r="BD41" i="32"/>
  <c r="BG8" i="32"/>
  <c r="BC27" i="32"/>
  <c r="BI6" i="32"/>
  <c r="BD11" i="32"/>
  <c r="BG31" i="32"/>
  <c r="BC6" i="32"/>
  <c r="BI38" i="32"/>
  <c r="BI10" i="32"/>
  <c r="BH39" i="32"/>
  <c r="BE42" i="32"/>
  <c r="BH32" i="32"/>
  <c r="BI42" i="32"/>
  <c r="BB30" i="32"/>
  <c r="BD18" i="32"/>
  <c r="BH26" i="32"/>
  <c r="BC17" i="32"/>
  <c r="BG43" i="32"/>
  <c r="BF35" i="32"/>
  <c r="BC15" i="32"/>
  <c r="BD10" i="32"/>
  <c r="BB12" i="32"/>
  <c r="BB18" i="32"/>
  <c r="BD28" i="32"/>
  <c r="BC25" i="32"/>
  <c r="BI33" i="32"/>
  <c r="BC18" i="32"/>
  <c r="BE7" i="32"/>
  <c r="BB31" i="32"/>
  <c r="BI8" i="32"/>
  <c r="BG32" i="32"/>
  <c r="BC34" i="32"/>
  <c r="BE25" i="32"/>
  <c r="BE43" i="32"/>
  <c r="BB6" i="32"/>
  <c r="BG41" i="32"/>
  <c r="BB43" i="32"/>
  <c r="BF14" i="32"/>
  <c r="BF17" i="32"/>
  <c r="BB29" i="32"/>
  <c r="BC9" i="32"/>
  <c r="BF40" i="32"/>
  <c r="BB15" i="32"/>
  <c r="BD40" i="32"/>
  <c r="BD32" i="32"/>
  <c r="BG33" i="32"/>
  <c r="BH43" i="32"/>
  <c r="BE39" i="32"/>
  <c r="BE12" i="32"/>
  <c r="BF26" i="32"/>
  <c r="BD13" i="32"/>
  <c r="BD43" i="32"/>
  <c r="BI35" i="32"/>
  <c r="BF31" i="32"/>
  <c r="BD39" i="32"/>
  <c r="BI43" i="32"/>
  <c r="BC26" i="32"/>
  <c r="BF12" i="32"/>
  <c r="BF39" i="32"/>
  <c r="BH34" i="32"/>
  <c r="BE6" i="32"/>
  <c r="BH30" i="32"/>
  <c r="BG29" i="32"/>
  <c r="BF33" i="32"/>
  <c r="BF34" i="32"/>
  <c r="BB33" i="32"/>
  <c r="BB42" i="32"/>
  <c r="BD31" i="32"/>
  <c r="BG40" i="32"/>
  <c r="BE16" i="32"/>
  <c r="BG39" i="32"/>
  <c r="BH7" i="32"/>
  <c r="BE35" i="32"/>
  <c r="BG35" i="32"/>
  <c r="BB34" i="32"/>
  <c r="BH10" i="32"/>
  <c r="BE18" i="32"/>
  <c r="BH17" i="32"/>
  <c r="BC42" i="32"/>
  <c r="BH6" i="32"/>
  <c r="BC12" i="32"/>
  <c r="BE34" i="32"/>
  <c r="BI37" i="32"/>
  <c r="BJ7" i="32" l="1"/>
  <c r="BN7" i="32" s="1"/>
  <c r="BJ33" i="32"/>
  <c r="BN33" i="32" s="1"/>
  <c r="BJ28" i="32"/>
  <c r="BN28" i="32" s="1"/>
  <c r="BJ8" i="32"/>
  <c r="BN8" i="32" s="1"/>
  <c r="BJ42" i="32"/>
  <c r="BN42" i="32" s="1"/>
  <c r="BJ26" i="32"/>
  <c r="BN26" i="32" s="1"/>
  <c r="BK15" i="32"/>
  <c r="BO15" i="32" s="1"/>
  <c r="BK35" i="32"/>
  <c r="BO35" i="32" s="1"/>
  <c r="BK43" i="32"/>
  <c r="BO43" i="32" s="1"/>
  <c r="BJ37" i="32"/>
  <c r="BN37" i="32" s="1"/>
  <c r="BJ32" i="32"/>
  <c r="BN32" i="32" s="1"/>
  <c r="BK39" i="32"/>
  <c r="BO39" i="32" s="1"/>
  <c r="BJ36" i="32"/>
  <c r="BN36" i="32" s="1"/>
  <c r="BK31" i="32"/>
  <c r="BO31" i="32" s="1"/>
  <c r="BK14" i="32"/>
  <c r="BO14" i="32" s="1"/>
  <c r="BK41" i="32"/>
  <c r="BO41" i="32" s="1"/>
  <c r="BJ29" i="32"/>
  <c r="BN29" i="32" s="1"/>
  <c r="BJ35" i="32"/>
  <c r="BN35" i="32" s="1"/>
  <c r="BJ27" i="32"/>
  <c r="BN27" i="32" s="1"/>
  <c r="BK8" i="32"/>
  <c r="BO8" i="32" s="1"/>
  <c r="BK30" i="32"/>
  <c r="BO30" i="32" s="1"/>
  <c r="BJ12" i="32"/>
  <c r="BN12" i="32" s="1"/>
  <c r="BJ11" i="32"/>
  <c r="BN11" i="32" s="1"/>
  <c r="BJ41" i="32"/>
  <c r="BN41" i="32" s="1"/>
  <c r="BJ18" i="32"/>
  <c r="BN18" i="32" s="1"/>
  <c r="BK37" i="32"/>
  <c r="BO37" i="32" s="1"/>
  <c r="BJ40" i="32"/>
  <c r="BN40" i="32" s="1"/>
  <c r="BK11" i="32"/>
  <c r="BO11" i="32" s="1"/>
  <c r="BJ9" i="32"/>
  <c r="BN9" i="32" s="1"/>
  <c r="BJ13" i="32"/>
  <c r="BN13" i="32" s="1"/>
  <c r="BK13" i="32"/>
  <c r="BO13" i="32" s="1"/>
  <c r="BJ43" i="32"/>
  <c r="BN43" i="32" s="1"/>
  <c r="BK42" i="32"/>
  <c r="BO42" i="32" s="1"/>
  <c r="BK16" i="32"/>
  <c r="BO16" i="32" s="1"/>
  <c r="BK26" i="32"/>
  <c r="BO26" i="32" s="1"/>
  <c r="BK17" i="32"/>
  <c r="BO17" i="32" s="1"/>
  <c r="BK27" i="32"/>
  <c r="BO27" i="32" s="1"/>
  <c r="BK6" i="32"/>
  <c r="BJ38" i="32"/>
  <c r="BN38" i="32" s="1"/>
  <c r="BK10" i="32"/>
  <c r="BO10" i="32" s="1"/>
  <c r="BK34" i="32"/>
  <c r="BO34" i="32" s="1"/>
  <c r="BJ17" i="32"/>
  <c r="BN17" i="32" s="1"/>
  <c r="BK18" i="32"/>
  <c r="BO18" i="32" s="1"/>
  <c r="BK12" i="32"/>
  <c r="BO12" i="32" s="1"/>
  <c r="BJ16" i="32"/>
  <c r="BN16" i="32" s="1"/>
  <c r="BK7" i="32"/>
  <c r="BO7" i="32" s="1"/>
  <c r="BJ14" i="32"/>
  <c r="BN14" i="32" s="1"/>
  <c r="BJ34" i="32"/>
  <c r="BN34" i="32" s="1"/>
  <c r="BK25" i="32"/>
  <c r="BO25" i="32" s="1"/>
  <c r="BJ15" i="32"/>
  <c r="BN15" i="32" s="1"/>
  <c r="BK33" i="32"/>
  <c r="BO33" i="32" s="1"/>
  <c r="BK28" i="32"/>
  <c r="BO28" i="32" s="1"/>
  <c r="BJ10" i="32"/>
  <c r="BN10" i="32" s="1"/>
  <c r="BK36" i="32"/>
  <c r="BO36" i="32" s="1"/>
  <c r="BK9" i="32"/>
  <c r="BO9" i="32" s="1"/>
  <c r="BK38" i="32"/>
  <c r="BO38" i="32" s="1"/>
  <c r="BJ30" i="32"/>
  <c r="BN30" i="32" s="1"/>
  <c r="BJ39" i="32"/>
  <c r="BN39" i="32" s="1"/>
  <c r="BK40" i="32"/>
  <c r="BO40" i="32" s="1"/>
  <c r="BK29" i="32"/>
  <c r="BO29" i="32" s="1"/>
  <c r="BJ31" i="32"/>
  <c r="BN31" i="32" s="1"/>
  <c r="BJ6" i="32"/>
  <c r="BK32" i="32"/>
  <c r="BO32" i="32" s="1"/>
  <c r="BJ25" i="32"/>
  <c r="BN25" i="32" s="1"/>
  <c r="BL16" i="32" l="1"/>
  <c r="BP16" i="32" s="1"/>
  <c r="BL27" i="32"/>
  <c r="BP27" i="32" s="1"/>
  <c r="BA18" i="32" l="1"/>
  <c r="BA14" i="32"/>
  <c r="BA13" i="32"/>
  <c r="BA12" i="32"/>
  <c r="BA11" i="32"/>
  <c r="BA10" i="32"/>
  <c r="BA42" i="32"/>
  <c r="BA41" i="32"/>
  <c r="BL29" i="32"/>
  <c r="BP29" i="32" s="1"/>
  <c r="BA40" i="32"/>
  <c r="BA39" i="32"/>
  <c r="BA35" i="32"/>
  <c r="BA34" i="32"/>
  <c r="BA33" i="32"/>
  <c r="BA32" i="32"/>
  <c r="BL42" i="32"/>
  <c r="BP42" i="32" s="1"/>
  <c r="BL36" i="32"/>
  <c r="BP36" i="32" s="1"/>
  <c r="BL26" i="32"/>
  <c r="BP26" i="32" s="1"/>
  <c r="BL18" i="32"/>
  <c r="BP18" i="32" s="1"/>
  <c r="BA38" i="32"/>
  <c r="BA37" i="32"/>
  <c r="BA36" i="32"/>
  <c r="BL33" i="32"/>
  <c r="BP33" i="32" s="1"/>
  <c r="BL30" i="32"/>
  <c r="BP30" i="32" s="1"/>
  <c r="BL28" i="32"/>
  <c r="BP28" i="32" s="1"/>
  <c r="BA15" i="32"/>
  <c r="BA43" i="32"/>
  <c r="BL37" i="32"/>
  <c r="BP37" i="32" s="1"/>
  <c r="BA31" i="32"/>
  <c r="BA30" i="32"/>
  <c r="BA29" i="32"/>
  <c r="BA28" i="32"/>
  <c r="BA17" i="32"/>
  <c r="BL13" i="32"/>
  <c r="BP13" i="32" s="1"/>
  <c r="BL8" i="32"/>
  <c r="BP8" i="32" s="1"/>
  <c r="BA26" i="32"/>
  <c r="BA25" i="32"/>
  <c r="BA9" i="32"/>
  <c r="BA8" i="32"/>
  <c r="BA7" i="32"/>
  <c r="BL15" i="32" l="1"/>
  <c r="BP15" i="32" s="1"/>
  <c r="BL39" i="32"/>
  <c r="BP39" i="32" s="1"/>
  <c r="BL12" i="32"/>
  <c r="BP12" i="32" s="1"/>
  <c r="BL14" i="32"/>
  <c r="BP14" i="32" s="1"/>
  <c r="BL10" i="32"/>
  <c r="BP10" i="32" s="1"/>
  <c r="BL17" i="32"/>
  <c r="BP17" i="32" s="1"/>
  <c r="BL31" i="32"/>
  <c r="BP31" i="32" s="1"/>
  <c r="BL43" i="32"/>
  <c r="BP43" i="32" s="1"/>
  <c r="BL25" i="32"/>
  <c r="BP25" i="32" s="1"/>
  <c r="BL7" i="32"/>
  <c r="BP7" i="32" s="1"/>
  <c r="BL32" i="32"/>
  <c r="BP32" i="32" s="1"/>
  <c r="BL35" i="32"/>
  <c r="BP35" i="32" s="1"/>
  <c r="BL11" i="32"/>
  <c r="BP11" i="32" s="1"/>
  <c r="BL40" i="32"/>
  <c r="BP40" i="32" s="1"/>
  <c r="BL9" i="32"/>
  <c r="BP9" i="32" s="1"/>
  <c r="BL34" i="32"/>
  <c r="BP34" i="32" s="1"/>
  <c r="BL41" i="32"/>
  <c r="BP41" i="32" s="1"/>
  <c r="BL38" i="32"/>
  <c r="BP38" i="32" s="1"/>
  <c r="BF44" i="32" l="1"/>
  <c r="BH44" i="32"/>
  <c r="BD44" i="32" l="1"/>
  <c r="BB44" i="32"/>
  <c r="BI44" i="32"/>
  <c r="BG44" i="32"/>
  <c r="F6" i="32"/>
  <c r="Z6" i="32" s="1"/>
  <c r="AL44" i="32" l="1"/>
  <c r="AM44" i="32"/>
  <c r="P44" i="32"/>
  <c r="M44" i="32"/>
  <c r="N44" i="32"/>
  <c r="O44" i="32"/>
  <c r="BC44" i="32"/>
  <c r="BE44" i="32"/>
  <c r="E6" i="32" l="1"/>
  <c r="Y6" i="32" s="1"/>
  <c r="AA6" i="32" l="1"/>
  <c r="AP44" i="32"/>
  <c r="AD44" i="32"/>
  <c r="AO44" i="32"/>
  <c r="AN44" i="32"/>
  <c r="AH44" i="32"/>
  <c r="AQ44" i="32"/>
  <c r="AI44" i="32"/>
  <c r="AG44" i="32"/>
  <c r="AF44" i="32"/>
  <c r="AE44" i="32"/>
  <c r="AU44" i="32"/>
  <c r="AT44" i="32"/>
  <c r="BO6" i="32" l="1"/>
  <c r="BO44" i="32" s="1"/>
  <c r="AC44" i="32"/>
  <c r="AB44" i="32"/>
  <c r="BK44" i="32"/>
  <c r="AV44" i="32" l="1"/>
  <c r="BN6" i="32"/>
  <c r="AW44" i="32"/>
  <c r="AX6" i="32"/>
  <c r="AX44" i="32" l="1"/>
  <c r="U2" i="32" l="1"/>
  <c r="AY44" i="32" l="1"/>
  <c r="AZ44" i="32"/>
  <c r="BA6" i="32"/>
  <c r="T44" i="32"/>
  <c r="W44" i="32"/>
  <c r="V44" i="32"/>
  <c r="F44" i="32"/>
  <c r="U44" i="32"/>
  <c r="S44" i="32"/>
  <c r="X44" i="32"/>
  <c r="E44" i="32"/>
  <c r="BJ44" i="32" l="1"/>
  <c r="BL44" i="32" s="1"/>
  <c r="BL6" i="32"/>
  <c r="BA44" i="32"/>
  <c r="Y44" i="32"/>
  <c r="Q44" i="32"/>
  <c r="Z44" i="32"/>
  <c r="R44" i="32"/>
  <c r="BN44" i="32" l="1"/>
  <c r="BP44" i="32" s="1"/>
  <c r="BP6" i="32"/>
  <c r="AA44" i="32"/>
</calcChain>
</file>

<file path=xl/sharedStrings.xml><?xml version="1.0" encoding="utf-8"?>
<sst xmlns="http://schemas.openxmlformats.org/spreadsheetml/2006/main" count="762" uniqueCount="139">
  <si>
    <t>TOTAL</t>
  </si>
  <si>
    <t>KORAMANGALA</t>
  </si>
  <si>
    <t>UTTARAHALLI</t>
  </si>
  <si>
    <t>TUMKUR</t>
  </si>
  <si>
    <t>SESHADRIPURAM</t>
  </si>
  <si>
    <t>VIDYARANYAPURA</t>
  </si>
  <si>
    <t>MANGALORE</t>
  </si>
  <si>
    <r>
      <t>SRI CHAITANYA</t>
    </r>
    <r>
      <rPr>
        <b/>
        <sz val="24"/>
        <color indexed="48"/>
        <rFont val="Impact"/>
        <family val="2"/>
      </rPr>
      <t xml:space="preserve"> </t>
    </r>
    <r>
      <rPr>
        <b/>
        <sz val="18"/>
        <color indexed="48"/>
        <rFont val="Narkisim"/>
        <family val="2"/>
        <charset val="177"/>
      </rPr>
      <t>EDUCATIONAL INSTITUTIONS</t>
    </r>
  </si>
  <si>
    <t>S.NO</t>
  </si>
  <si>
    <t>NAME OF THE 
CAMPUS</t>
  </si>
  <si>
    <t>RESI. /DAY</t>
  </si>
  <si>
    <t>BOYS /GIRLS / COED</t>
  </si>
  <si>
    <t>TOT STR</t>
  </si>
  <si>
    <t>TOT PRE</t>
  </si>
  <si>
    <t>PRE</t>
  </si>
  <si>
    <t>DAY</t>
  </si>
  <si>
    <t>COED</t>
  </si>
  <si>
    <t>RESI.</t>
  </si>
  <si>
    <t>GIRLS</t>
  </si>
  <si>
    <t>BOYS</t>
  </si>
  <si>
    <t>RAJAJI NAGAR</t>
  </si>
  <si>
    <t>CITY</t>
  </si>
  <si>
    <t>STR</t>
  </si>
  <si>
    <t>BANGALORE</t>
  </si>
  <si>
    <t>TOT</t>
  </si>
  <si>
    <t>NAGARBHAVI</t>
  </si>
  <si>
    <t>MPL-ELITE</t>
  </si>
  <si>
    <t>STREAM-WISE_DAILY_ATTENDANCE_REPORT</t>
  </si>
  <si>
    <t>TOT PRE
(%)</t>
  </si>
  <si>
    <t>CBSE</t>
  </si>
  <si>
    <t>PU</t>
  </si>
  <si>
    <t>%</t>
  </si>
  <si>
    <t>HUBLI</t>
  </si>
  <si>
    <t>MANDYA</t>
  </si>
  <si>
    <t>KUDLU</t>
  </si>
  <si>
    <t>BALLARI</t>
  </si>
  <si>
    <t>KR PURAM</t>
  </si>
  <si>
    <t>KARNATAKA TOT</t>
  </si>
  <si>
    <t>PRE
(%)</t>
  </si>
  <si>
    <t>BELAGAVI</t>
  </si>
  <si>
    <t>DAVANAGERE</t>
  </si>
  <si>
    <t>HORAMAVU</t>
  </si>
  <si>
    <t>MARTHAHALLI</t>
  </si>
  <si>
    <t>MARTHAHALLI C-120</t>
  </si>
  <si>
    <t>J P NAGAR</t>
  </si>
  <si>
    <t>YESHWANTHPUR</t>
  </si>
  <si>
    <t>KAGGADASPURA</t>
  </si>
  <si>
    <t>ELECTRONIC CITY</t>
  </si>
  <si>
    <t>ELECTRONIC CITY DS</t>
  </si>
  <si>
    <t>SARJAPURA</t>
  </si>
  <si>
    <t>ECITY NEET BOYS</t>
  </si>
  <si>
    <t>BANASWADI</t>
  </si>
  <si>
    <t>HEGDENAGAR</t>
  </si>
  <si>
    <t>BANNERGHATTA ROAD</t>
  </si>
  <si>
    <t>KANAKAPURA ROAD</t>
  </si>
  <si>
    <t>MYSORE</t>
  </si>
  <si>
    <t>D&amp;R</t>
  </si>
  <si>
    <t>Super60(N)</t>
  </si>
  <si>
    <t>Super60(S)</t>
  </si>
  <si>
    <t>LONG TERM
VAIDYAH</t>
  </si>
  <si>
    <t>BELLANDUR</t>
  </si>
  <si>
    <t>LTC-VAIDYAH</t>
  </si>
  <si>
    <t>CO-IPL</t>
  </si>
  <si>
    <t>7TH CLASS</t>
  </si>
  <si>
    <t>8TH CLASS</t>
  </si>
  <si>
    <t>9TH CLASS</t>
  </si>
  <si>
    <t>10TH CLASS</t>
  </si>
  <si>
    <t>BALLARI BOYS</t>
  </si>
  <si>
    <t>BALLARI GIRLS</t>
  </si>
  <si>
    <t>HUBLI 2</t>
  </si>
  <si>
    <t>KOLAR</t>
  </si>
  <si>
    <t>MAGADI ROAD</t>
  </si>
  <si>
    <t>PEENYA DASARAHALLI</t>
  </si>
  <si>
    <t>SHIVAMOGGA</t>
  </si>
  <si>
    <t>DR BS RAO VIDYASOUDHA MYSORE</t>
  </si>
  <si>
    <t>GRAND TOTAL</t>
  </si>
  <si>
    <t>S60(Star)</t>
  </si>
  <si>
    <t>C120(Star)</t>
  </si>
  <si>
    <t>JEE Apex (2Hrs)</t>
  </si>
  <si>
    <t>Sr.ELITE &amp; AS60 (Star)</t>
  </si>
  <si>
    <t>NEET Wisdom (2Hrs)</t>
  </si>
  <si>
    <t>AIIMS S60</t>
  </si>
  <si>
    <t>Elite(C-120)</t>
  </si>
  <si>
    <t>DAVANAGERE 2</t>
  </si>
  <si>
    <t>Inc Sr.Super60(Nuc)</t>
  </si>
  <si>
    <t>Inc Sr.Super60(Nuc)
(CBSE &amp; PU)</t>
  </si>
  <si>
    <t>Inc Sr.Super60(Ster)</t>
  </si>
  <si>
    <t>Inc Sr.Super60(Ster)
(CBSE &amp; PU)</t>
  </si>
  <si>
    <t>Inc Sr.Elite (C-120)</t>
  </si>
  <si>
    <t>Inc Sr.Elite (C-120)
(CBSE &amp; PU)</t>
  </si>
  <si>
    <t>Inc Sr.Super60(Star)</t>
  </si>
  <si>
    <t>Inc Sr.Super60(Star)
(CBSE &amp; PU)</t>
  </si>
  <si>
    <t>Inc Sr.C-120(Star)</t>
  </si>
  <si>
    <t>Inc Sr.C-120(Star)
(CBSE &amp; PU)</t>
  </si>
  <si>
    <t>Inc Sr.Elite</t>
  </si>
  <si>
    <t>Inc Sr.Elite
(CBSE &amp; PU)</t>
  </si>
  <si>
    <t>Inc Sr.AIIMS S60</t>
  </si>
  <si>
    <t>Inc Sr.AIIMS S60
(CBSE &amp; PU)</t>
  </si>
  <si>
    <t>Inc Sr.ELITE &amp; AIIMS S60 (Star)</t>
  </si>
  <si>
    <t>Inc Sr.ELITE &amp; AIIMS S60 (Star)
(CBSE &amp; PU)</t>
  </si>
  <si>
    <t>INCOMING SENIORS (CBSE &amp; PU)</t>
  </si>
  <si>
    <t>INCOMING SENIOR CBSE TOTAL</t>
  </si>
  <si>
    <t>INCOMING SENIOR PU TOTAL</t>
  </si>
  <si>
    <t>INCOMING TOTAL SENIORS</t>
  </si>
  <si>
    <t>OUTGOING SENIORS (CBSE &amp; PU)</t>
  </si>
  <si>
    <t>Out Sr.Super60(Nuc)</t>
  </si>
  <si>
    <t>Out Sr.Super60(Nuc)
(CBSE &amp; PU)</t>
  </si>
  <si>
    <t>Out Sr.Super60(Ster)</t>
  </si>
  <si>
    <t>Out Sr.Super60(Ster)
(CBSE &amp; PU)</t>
  </si>
  <si>
    <t>Out Sr.Elite (C-120)</t>
  </si>
  <si>
    <t>Out Sr.Elite (C-120)
(CBSE &amp; PU)</t>
  </si>
  <si>
    <t>Out Sr.Super60(Star)</t>
  </si>
  <si>
    <t>Out Sr.Super60(Star)
(CBSE &amp; PU)</t>
  </si>
  <si>
    <t>Out Sr.C-120(Star)</t>
  </si>
  <si>
    <t>Out Sr.C-120(Star)
(CBSE &amp; PU)</t>
  </si>
  <si>
    <t>Out Sr.JEE Apex (2Hrs)</t>
  </si>
  <si>
    <t>Out Sr.JEE Apex (2Hrs)
(CBSE &amp; PU)</t>
  </si>
  <si>
    <t>Out Sr.Elite</t>
  </si>
  <si>
    <t>Out Sr.Elite
(CBSE &amp; PU)</t>
  </si>
  <si>
    <t>Out Sr.AIIMS S60</t>
  </si>
  <si>
    <t>Out Sr.AIIMS S60
(CBSE &amp; PU)</t>
  </si>
  <si>
    <t>Out Sr.NEET Wisdom (2Hrs)</t>
  </si>
  <si>
    <t>Out Sr.NEET Wisdom (2Hrs)
(CBSE &amp; PU)</t>
  </si>
  <si>
    <t>Out Sr.ELITE &amp; AIIMS S60 (Star)</t>
  </si>
  <si>
    <t>Out Sr.ELITE &amp; AIIMS S60 (Star)
(CBSE &amp; PU)</t>
  </si>
  <si>
    <t>OUTGOING SENIOR CBSE TOTAL</t>
  </si>
  <si>
    <t>OUTGOING SENIOR PU TOTAL</t>
  </si>
  <si>
    <t>OUTGOING TOTAL SENIORS</t>
  </si>
  <si>
    <t>Inc Sr.JEE Apex</t>
  </si>
  <si>
    <t>Inc Sr.JEE Apex
(CBSE &amp; PU)</t>
  </si>
  <si>
    <t>Inc Sr.NEET Wisdom</t>
  </si>
  <si>
    <t>Inc Sr.NEET Wisdom
(CBSE &amp; PU)</t>
  </si>
  <si>
    <t>INCOMING SENIORS</t>
  </si>
  <si>
    <t>OUTGOING SENIORS</t>
  </si>
  <si>
    <t>JEE Apex</t>
  </si>
  <si>
    <t>NEET Wisdom</t>
  </si>
  <si>
    <t>-</t>
  </si>
  <si>
    <t xml:space="preserve"> </t>
  </si>
  <si>
    <t>Date:18-04-2026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</si>
</sst>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24"/>
      <color indexed="48"/>
      <name val="Impact"/>
      <family val="2"/>
    </font>
    <font>
      <b/>
      <sz val="24"/>
      <color indexed="48"/>
      <name val="Impact"/>
      <family val="2"/>
    </font>
    <font>
      <b/>
      <sz val="18"/>
      <color indexed="48"/>
      <name val="Narkisim"/>
      <family val="2"/>
      <charset val="177"/>
    </font>
    <font>
      <sz val="11"/>
      <color rgb="FF000000"/>
      <name val="Calibri"/>
      <family val="2"/>
    </font>
    <font>
      <b/>
      <sz val="14"/>
      <color rgb="FFFF0000"/>
      <name val="Tw Cen MT"/>
      <family val="2"/>
    </font>
    <font>
      <sz val="11"/>
      <color rgb="FF000000"/>
      <name val="Tw Cen MT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3"/>
      <color rgb="FF000000"/>
      <name val="Tahoma"/>
      <family val="2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00"/>
      <name val="Tw Cen MT"/>
      <family val="2"/>
    </font>
    <font>
      <b/>
      <sz val="10"/>
      <color rgb="FF002060"/>
      <name val="Tw Cen MT"/>
      <family val="2"/>
    </font>
    <font>
      <b/>
      <sz val="14"/>
      <color rgb="FF002060"/>
      <name val="Tw Cen MT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990099"/>
      <name val="Calibri"/>
      <family val="2"/>
      <scheme val="minor"/>
    </font>
    <font>
      <b/>
      <sz val="12"/>
      <color rgb="FF2F2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990099"/>
      <name val="Calibri"/>
      <family val="2"/>
      <scheme val="minor"/>
    </font>
    <font>
      <b/>
      <sz val="11"/>
      <color rgb="FF2F2F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13"/>
      <color rgb="FF990099"/>
      <name val="Calibri"/>
      <family val="2"/>
      <scheme val="minor"/>
    </font>
    <font>
      <b/>
      <sz val="13"/>
      <color rgb="FF2F2FFF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2121FF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12"/>
      <color rgb="FF2121FF"/>
      <name val="Calibri"/>
      <family val="2"/>
      <scheme val="minor"/>
    </font>
    <font>
      <b/>
      <sz val="10"/>
      <color rgb="FF990099"/>
      <name val="Calibri"/>
      <family val="2"/>
      <scheme val="minor"/>
    </font>
    <font>
      <b/>
      <sz val="10"/>
      <color rgb="FF2F2FFF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2F2FFF"/>
      <name val="Calibri"/>
      <family val="2"/>
      <scheme val="minor"/>
    </font>
    <font>
      <b/>
      <sz val="16"/>
      <color rgb="FF2F2FFF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Tw Cen MT"/>
      <family val="2"/>
    </font>
    <font>
      <b/>
      <sz val="10"/>
      <name val="Tw Cen MT"/>
      <family val="2"/>
    </font>
  </fonts>
  <fills count="20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7FFE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7" tint="0.799768059327982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rgb="FF2F83FF"/>
      </left>
      <right style="thin">
        <color rgb="FF2F83FF"/>
      </right>
      <top style="thin">
        <color rgb="FF2F83FF"/>
      </top>
      <bottom style="thin">
        <color rgb="FF2F83FF"/>
      </bottom>
      <diagonal/>
    </border>
    <border>
      <left style="thin">
        <color rgb="FF2F83FF"/>
      </left>
      <right style="thin">
        <color rgb="FF2F83FF"/>
      </right>
      <top style="thin">
        <color rgb="FF2F83FF"/>
      </top>
      <bottom style="thin">
        <color rgb="FF2F83FF"/>
      </bottom>
      <diagonal/>
    </border>
    <border>
      <left style="thin">
        <color rgb="FF2F83FF"/>
      </left>
      <right style="medium">
        <color rgb="FF2F83FF"/>
      </right>
      <top style="thin">
        <color rgb="FF2F83FF"/>
      </top>
      <bottom style="thin">
        <color rgb="FF2F83FF"/>
      </bottom>
      <diagonal/>
    </border>
    <border>
      <left style="thin">
        <color rgb="FF2F83FF"/>
      </left>
      <right/>
      <top style="thin">
        <color rgb="FF2F83FF"/>
      </top>
      <bottom style="thin">
        <color rgb="FF2F83FF"/>
      </bottom>
      <diagonal/>
    </border>
    <border>
      <left style="thick">
        <color rgb="FF2F83FF"/>
      </left>
      <right style="thin">
        <color rgb="FF2F83FF"/>
      </right>
      <top style="thick">
        <color rgb="FF2F83FF"/>
      </top>
      <bottom style="thin">
        <color rgb="FF2F83FF"/>
      </bottom>
      <diagonal/>
    </border>
    <border>
      <left style="thin">
        <color rgb="FF2F83FF"/>
      </left>
      <right style="thin">
        <color rgb="FF2F83FF"/>
      </right>
      <top style="thick">
        <color rgb="FF2F83FF"/>
      </top>
      <bottom style="thin">
        <color rgb="FF2F83FF"/>
      </bottom>
      <diagonal/>
    </border>
    <border>
      <left style="thin">
        <color rgb="FF2F83FF"/>
      </left>
      <right style="thick">
        <color rgb="FF2F83FF"/>
      </right>
      <top style="thick">
        <color rgb="FF2F83FF"/>
      </top>
      <bottom style="thin">
        <color rgb="FF2F83FF"/>
      </bottom>
      <diagonal/>
    </border>
    <border>
      <left style="thick">
        <color rgb="FF2F83FF"/>
      </left>
      <right style="thin">
        <color rgb="FF2F83FF"/>
      </right>
      <top style="thin">
        <color rgb="FF2F83FF"/>
      </top>
      <bottom style="thin">
        <color rgb="FF2F83FF"/>
      </bottom>
      <diagonal/>
    </border>
    <border>
      <left style="thin">
        <color rgb="FF2F83FF"/>
      </left>
      <right style="thick">
        <color rgb="FF2F83FF"/>
      </right>
      <top style="thin">
        <color rgb="FF2F83FF"/>
      </top>
      <bottom style="thin">
        <color rgb="FF2F83FF"/>
      </bottom>
      <diagonal/>
    </border>
    <border>
      <left style="thin">
        <color rgb="FF2F2FFF"/>
      </left>
      <right style="thin">
        <color rgb="FF2F2FFF"/>
      </right>
      <top style="thin">
        <color rgb="FF2F2FFF"/>
      </top>
      <bottom style="thin">
        <color rgb="FF2F2FFF"/>
      </bottom>
      <diagonal/>
    </border>
    <border>
      <left style="thick">
        <color rgb="FF2F2FFF"/>
      </left>
      <right style="thin">
        <color rgb="FF2F2FFF"/>
      </right>
      <top style="thick">
        <color rgb="FF2F2FFF"/>
      </top>
      <bottom style="thin">
        <color rgb="FF2F2FFF"/>
      </bottom>
      <diagonal/>
    </border>
    <border>
      <left style="thin">
        <color rgb="FF2F2FFF"/>
      </left>
      <right style="thin">
        <color rgb="FF2F2FFF"/>
      </right>
      <top style="thick">
        <color rgb="FF2F2FFF"/>
      </top>
      <bottom style="thin">
        <color rgb="FF2F2FFF"/>
      </bottom>
      <diagonal/>
    </border>
    <border>
      <left style="thin">
        <color rgb="FF2F2FFF"/>
      </left>
      <right style="thick">
        <color rgb="FF2F2FFF"/>
      </right>
      <top style="thick">
        <color rgb="FF2F2FFF"/>
      </top>
      <bottom style="thin">
        <color rgb="FF2F2FFF"/>
      </bottom>
      <diagonal/>
    </border>
    <border>
      <left style="thick">
        <color rgb="FF2F2FFF"/>
      </left>
      <right style="thin">
        <color rgb="FF2F2FFF"/>
      </right>
      <top style="thin">
        <color rgb="FF2F2FFF"/>
      </top>
      <bottom style="thin">
        <color rgb="FF2F2FFF"/>
      </bottom>
      <diagonal/>
    </border>
    <border>
      <left style="thin">
        <color rgb="FF2F2FFF"/>
      </left>
      <right style="thick">
        <color rgb="FF2F2FFF"/>
      </right>
      <top style="thin">
        <color rgb="FF2F2FFF"/>
      </top>
      <bottom style="thin">
        <color rgb="FF2F2FFF"/>
      </bottom>
      <diagonal/>
    </border>
    <border>
      <left style="thick">
        <color rgb="FF2F2FFF"/>
      </left>
      <right style="thin">
        <color rgb="FF2F2FFF"/>
      </right>
      <top style="thin">
        <color rgb="FF2F2FFF"/>
      </top>
      <bottom style="thick">
        <color rgb="FF2F2FFF"/>
      </bottom>
      <diagonal/>
    </border>
    <border>
      <left style="thin">
        <color rgb="FF2F2FFF"/>
      </left>
      <right style="thin">
        <color rgb="FF2F2FFF"/>
      </right>
      <top style="thin">
        <color rgb="FF2F2FFF"/>
      </top>
      <bottom style="thick">
        <color rgb="FF2F2FFF"/>
      </bottom>
      <diagonal/>
    </border>
    <border>
      <left style="thin">
        <color rgb="FF2F2FFF"/>
      </left>
      <right style="thick">
        <color rgb="FF2F2FFF"/>
      </right>
      <top style="thin">
        <color rgb="FF2F2FFF"/>
      </top>
      <bottom style="thick">
        <color rgb="FF2F2FFF"/>
      </bottom>
      <diagonal/>
    </border>
    <border>
      <left style="thin">
        <color rgb="FF2F2FFF"/>
      </left>
      <right/>
      <top style="thick">
        <color rgb="FF2F2FFF"/>
      </top>
      <bottom style="thin">
        <color rgb="FF2F2FFF"/>
      </bottom>
      <diagonal/>
    </border>
    <border>
      <left style="thin">
        <color rgb="FF2F2FFF"/>
      </left>
      <right/>
      <top style="thin">
        <color rgb="FF2F2FFF"/>
      </top>
      <bottom style="thin">
        <color rgb="FF2F2FFF"/>
      </bottom>
      <diagonal/>
    </border>
    <border>
      <left style="thin">
        <color rgb="FF2F2FFF"/>
      </left>
      <right/>
      <top style="thin">
        <color rgb="FF2F2FFF"/>
      </top>
      <bottom style="thick">
        <color rgb="FF2F2FFF"/>
      </bottom>
      <diagonal/>
    </border>
    <border>
      <left/>
      <right style="thin">
        <color rgb="FF2F83FF"/>
      </right>
      <top style="thin">
        <color rgb="FF2F83FF"/>
      </top>
      <bottom style="thin">
        <color rgb="FF2F83FF"/>
      </bottom>
      <diagonal/>
    </border>
    <border>
      <left style="medium">
        <color rgb="FF2F83FF"/>
      </left>
      <right/>
      <top style="thin">
        <color rgb="FF2F83FF"/>
      </top>
      <bottom style="thin">
        <color rgb="FF2F83FF"/>
      </bottom>
      <diagonal/>
    </border>
    <border>
      <left style="thin">
        <color rgb="FF2F83FF"/>
      </left>
      <right/>
      <top style="medium">
        <color rgb="FF2F83FF"/>
      </top>
      <bottom/>
      <diagonal/>
    </border>
    <border>
      <left/>
      <right/>
      <top style="medium">
        <color rgb="FF2F83FF"/>
      </top>
      <bottom/>
      <diagonal/>
    </border>
    <border>
      <left/>
      <right style="medium">
        <color rgb="FF2F83FF"/>
      </right>
      <top style="medium">
        <color rgb="FF2F83FF"/>
      </top>
      <bottom/>
      <diagonal/>
    </border>
    <border>
      <left style="thin">
        <color rgb="FF2F83FF"/>
      </left>
      <right/>
      <top/>
      <bottom style="thin">
        <color rgb="FF2F83FF"/>
      </bottom>
      <diagonal/>
    </border>
    <border>
      <left/>
      <right/>
      <top/>
      <bottom style="thin">
        <color rgb="FF2F83FF"/>
      </bottom>
      <diagonal/>
    </border>
    <border>
      <left/>
      <right style="medium">
        <color rgb="FF2F83FF"/>
      </right>
      <top/>
      <bottom style="thin">
        <color rgb="FF2F83FF"/>
      </bottom>
      <diagonal/>
    </border>
    <border>
      <left style="medium">
        <color rgb="FF2F83FF"/>
      </left>
      <right/>
      <top style="medium">
        <color rgb="FF2F83FF"/>
      </top>
      <bottom style="thin">
        <color rgb="FF2F83FF"/>
      </bottom>
      <diagonal/>
    </border>
    <border>
      <left/>
      <right/>
      <top style="medium">
        <color rgb="FF2F83FF"/>
      </top>
      <bottom style="thin">
        <color rgb="FF2F83FF"/>
      </bottom>
      <diagonal/>
    </border>
    <border>
      <left/>
      <right style="thin">
        <color rgb="FF2F83FF"/>
      </right>
      <top style="medium">
        <color rgb="FF2F83FF"/>
      </top>
      <bottom style="thin">
        <color rgb="FF2F83FF"/>
      </bottom>
      <diagonal/>
    </border>
    <border>
      <left style="medium">
        <color rgb="FF2F83FF"/>
      </left>
      <right/>
      <top/>
      <bottom style="thin">
        <color rgb="FF2F83FF"/>
      </bottom>
      <diagonal/>
    </border>
    <border>
      <left style="medium">
        <color rgb="FF2F83FF"/>
      </left>
      <right style="thin">
        <color rgb="FF2F83FF"/>
      </right>
      <top style="thin">
        <color rgb="FF2F83FF"/>
      </top>
      <bottom/>
      <diagonal/>
    </border>
    <border>
      <left style="medium">
        <color rgb="FF2F83FF"/>
      </left>
      <right style="thin">
        <color rgb="FF2F83FF"/>
      </right>
      <top/>
      <bottom style="thin">
        <color rgb="FF2F83FF"/>
      </bottom>
      <diagonal/>
    </border>
    <border>
      <left style="thin">
        <color rgb="FF2F83FF"/>
      </left>
      <right style="thin">
        <color rgb="FF2F83FF"/>
      </right>
      <top style="thin">
        <color rgb="FF2F83FF"/>
      </top>
      <bottom/>
      <diagonal/>
    </border>
    <border>
      <left style="thin">
        <color rgb="FF2F83FF"/>
      </left>
      <right style="thin">
        <color rgb="FF2F83FF"/>
      </right>
      <top/>
      <bottom style="thin">
        <color rgb="FF2F83FF"/>
      </bottom>
      <diagonal/>
    </border>
    <border>
      <left style="thin">
        <color rgb="FF2F83FF"/>
      </left>
      <right style="medium">
        <color rgb="FF2F83FF"/>
      </right>
      <top/>
      <bottom style="thin">
        <color rgb="FF2F83FF"/>
      </bottom>
      <diagonal/>
    </border>
    <border>
      <left/>
      <right style="thick">
        <color rgb="FF2F83FF"/>
      </right>
      <top/>
      <bottom style="thin">
        <color rgb="FF2F83FF"/>
      </bottom>
      <diagonal/>
    </border>
    <border>
      <left style="thin">
        <color rgb="FF2F83FF"/>
      </left>
      <right style="thick">
        <color rgb="FF2F83FF"/>
      </right>
      <top style="thin">
        <color rgb="FF2F83FF"/>
      </top>
      <bottom/>
      <diagonal/>
    </border>
    <border>
      <left style="thin">
        <color rgb="FF2F83FF"/>
      </left>
      <right style="thick">
        <color rgb="FF2F83FF"/>
      </right>
      <top/>
      <bottom style="thin">
        <color rgb="FF2F83FF"/>
      </bottom>
      <diagonal/>
    </border>
    <border>
      <left style="thick">
        <color rgb="FF2F83FF"/>
      </left>
      <right style="thin">
        <color rgb="FF2F83FF"/>
      </right>
      <top style="thin">
        <color rgb="FF2F83FF"/>
      </top>
      <bottom style="thick">
        <color rgb="FF2F83FF"/>
      </bottom>
      <diagonal/>
    </border>
    <border>
      <left style="thin">
        <color rgb="FF2F83FF"/>
      </left>
      <right style="thin">
        <color rgb="FF2F83FF"/>
      </right>
      <top style="thin">
        <color rgb="FF2F83FF"/>
      </top>
      <bottom style="thick">
        <color rgb="FF2F83FF"/>
      </bottom>
      <diagonal/>
    </border>
    <border>
      <left style="thin">
        <color rgb="FF2F83FF"/>
      </left>
      <right style="thick">
        <color rgb="FF2F83FF"/>
      </right>
      <top style="thin">
        <color rgb="FF2F83FF"/>
      </top>
      <bottom style="thick">
        <color rgb="FF2F83FF"/>
      </bottom>
      <diagonal/>
    </border>
    <border>
      <left style="thin">
        <color rgb="FF2F83FF"/>
      </left>
      <right style="medium">
        <color rgb="FF2F83FF"/>
      </right>
      <top/>
      <bottom/>
      <diagonal/>
    </border>
    <border>
      <left style="thin">
        <color rgb="FF2F83FF"/>
      </left>
      <right style="thin">
        <color rgb="FF2F83FF"/>
      </right>
      <top/>
      <bottom/>
      <diagonal/>
    </border>
    <border>
      <left style="thick">
        <color rgb="FF2F2FFF"/>
      </left>
      <right/>
      <top style="thick">
        <color rgb="FF2F2FFF"/>
      </top>
      <bottom/>
      <diagonal/>
    </border>
    <border>
      <left/>
      <right/>
      <top style="thick">
        <color rgb="FF2F2FFF"/>
      </top>
      <bottom/>
      <diagonal/>
    </border>
    <border>
      <left/>
      <right style="thick">
        <color rgb="FF2F2FFF"/>
      </right>
      <top style="thick">
        <color rgb="FF2F2FFF"/>
      </top>
      <bottom/>
      <diagonal/>
    </border>
    <border>
      <left style="thick">
        <color rgb="FF2F2FFF"/>
      </left>
      <right/>
      <top/>
      <bottom style="thin">
        <color rgb="FF2F2FFF"/>
      </bottom>
      <diagonal/>
    </border>
    <border>
      <left/>
      <right/>
      <top/>
      <bottom style="thin">
        <color rgb="FF2F2FFF"/>
      </bottom>
      <diagonal/>
    </border>
    <border>
      <left/>
      <right style="thick">
        <color rgb="FF2F2FFF"/>
      </right>
      <top/>
      <bottom style="thin">
        <color rgb="FF2F2FFF"/>
      </bottom>
      <diagonal/>
    </border>
    <border>
      <left style="thick">
        <color rgb="FF2F83FF"/>
      </left>
      <right style="thin">
        <color rgb="FF2F83FF"/>
      </right>
      <top style="thick">
        <color rgb="FF2F83FF"/>
      </top>
      <bottom/>
      <diagonal/>
    </border>
    <border>
      <left style="thin">
        <color rgb="FF2F83FF"/>
      </left>
      <right style="thin">
        <color rgb="FF2F83FF"/>
      </right>
      <top style="thick">
        <color rgb="FF2F83FF"/>
      </top>
      <bottom/>
      <diagonal/>
    </border>
    <border>
      <left style="thin">
        <color rgb="FF2F83FF"/>
      </left>
      <right style="medium">
        <color rgb="FF2F83FF"/>
      </right>
      <top style="thick">
        <color rgb="FF2F83FF"/>
      </top>
      <bottom/>
      <diagonal/>
    </border>
    <border>
      <left style="medium">
        <color rgb="FF2F83FF"/>
      </left>
      <right/>
      <top style="thick">
        <color rgb="FF2F83FF"/>
      </top>
      <bottom style="medium">
        <color rgb="FF2F83FF"/>
      </bottom>
      <diagonal/>
    </border>
    <border>
      <left/>
      <right/>
      <top style="thick">
        <color rgb="FF2F83FF"/>
      </top>
      <bottom style="medium">
        <color rgb="FF2F83FF"/>
      </bottom>
      <diagonal/>
    </border>
    <border>
      <left/>
      <right style="medium">
        <color rgb="FF2F83FF"/>
      </right>
      <top style="thick">
        <color rgb="FF2F83FF"/>
      </top>
      <bottom style="medium">
        <color rgb="FF2F83FF"/>
      </bottom>
      <diagonal/>
    </border>
    <border>
      <left style="medium">
        <color rgb="FF2F83FF"/>
      </left>
      <right style="thin">
        <color rgb="FF2F83FF"/>
      </right>
      <top style="thick">
        <color rgb="FF2F83FF"/>
      </top>
      <bottom style="thin">
        <color rgb="FF2F83FF"/>
      </bottom>
      <diagonal/>
    </border>
    <border>
      <left style="thin">
        <color rgb="FF2F83FF"/>
      </left>
      <right style="medium">
        <color rgb="FF2F83FF"/>
      </right>
      <top style="thick">
        <color rgb="FF2F83FF"/>
      </top>
      <bottom style="thin">
        <color rgb="FF2F83FF"/>
      </bottom>
      <diagonal/>
    </border>
    <border>
      <left style="medium">
        <color rgb="FF2F83FF"/>
      </left>
      <right/>
      <top style="thick">
        <color rgb="FF2F83FF"/>
      </top>
      <bottom/>
      <diagonal/>
    </border>
    <border>
      <left/>
      <right/>
      <top style="thick">
        <color rgb="FF2F83FF"/>
      </top>
      <bottom/>
      <diagonal/>
    </border>
    <border>
      <left/>
      <right style="thick">
        <color rgb="FF2F83FF"/>
      </right>
      <top style="thick">
        <color rgb="FF2F83FF"/>
      </top>
      <bottom/>
      <diagonal/>
    </border>
    <border>
      <left style="thick">
        <color rgb="FF2F83FF"/>
      </left>
      <right style="thin">
        <color rgb="FF2F83FF"/>
      </right>
      <top/>
      <bottom/>
      <diagonal/>
    </border>
    <border>
      <left style="thick">
        <color rgb="FF2F83FF"/>
      </left>
      <right style="thin">
        <color rgb="FF2F83FF"/>
      </right>
      <top/>
      <bottom style="thin">
        <color rgb="FF2F83FF"/>
      </bottom>
      <diagonal/>
    </border>
    <border>
      <left style="medium">
        <color rgb="FF2F83FF"/>
      </left>
      <right style="thin">
        <color rgb="FF2F83FF"/>
      </right>
      <top style="thin">
        <color rgb="FF2F83FF"/>
      </top>
      <bottom style="thick">
        <color rgb="FF2F83FF"/>
      </bottom>
      <diagonal/>
    </border>
    <border>
      <left style="thin">
        <color rgb="FF2F83FF"/>
      </left>
      <right style="medium">
        <color rgb="FF2F83FF"/>
      </right>
      <top style="thin">
        <color rgb="FF2F83FF"/>
      </top>
      <bottom style="thick">
        <color rgb="FF2F83FF"/>
      </bottom>
      <diagonal/>
    </border>
    <border>
      <left/>
      <right style="thin">
        <color rgb="FF2F2FFF"/>
      </right>
      <top style="thin">
        <color rgb="FF2F2FFF"/>
      </top>
      <bottom style="thin">
        <color rgb="FF2F2FFF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</cellStyleXfs>
  <cellXfs count="231">
    <xf numFmtId="0" fontId="0" fillId="0" borderId="0" xfId="0"/>
    <xf numFmtId="0" fontId="1" fillId="0" borderId="0" xfId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1" applyFont="1" applyAlignment="1">
      <alignment vertical="center" shrinkToFit="1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22" fillId="0" borderId="0" xfId="1" applyFont="1" applyAlignment="1">
      <alignment shrinkToFit="1"/>
    </xf>
    <xf numFmtId="0" fontId="26" fillId="0" borderId="0" xfId="1" applyFont="1" applyAlignment="1">
      <alignment shrinkToFit="1"/>
    </xf>
    <xf numFmtId="0" fontId="26" fillId="0" borderId="0" xfId="1" applyFont="1" applyAlignment="1"/>
    <xf numFmtId="0" fontId="26" fillId="0" borderId="0" xfId="1" applyFont="1" applyAlignment="1">
      <alignment wrapText="1"/>
    </xf>
    <xf numFmtId="0" fontId="36" fillId="6" borderId="1" xfId="1" applyFont="1" applyFill="1" applyBorder="1" applyAlignment="1">
      <alignment horizontal="center" vertical="center" shrinkToFit="1"/>
    </xf>
    <xf numFmtId="0" fontId="36" fillId="6" borderId="2" xfId="1" applyFont="1" applyFill="1" applyBorder="1" applyAlignment="1">
      <alignment horizontal="center" vertical="center" shrinkToFit="1"/>
    </xf>
    <xf numFmtId="0" fontId="37" fillId="5" borderId="2" xfId="1" applyFont="1" applyFill="1" applyBorder="1" applyAlignment="1">
      <alignment horizontal="center" vertical="center" shrinkToFit="1"/>
    </xf>
    <xf numFmtId="0" fontId="34" fillId="7" borderId="2" xfId="1" applyFont="1" applyFill="1" applyBorder="1" applyAlignment="1">
      <alignment horizontal="center" vertical="center" shrinkToFit="1"/>
    </xf>
    <xf numFmtId="0" fontId="34" fillId="7" borderId="3" xfId="1" applyFont="1" applyFill="1" applyBorder="1" applyAlignment="1">
      <alignment horizontal="center" vertical="center" shrinkToFit="1"/>
    </xf>
    <xf numFmtId="0" fontId="26" fillId="0" borderId="0" xfId="1" applyFont="1">
      <alignment vertical="center"/>
    </xf>
    <xf numFmtId="0" fontId="26" fillId="0" borderId="0" xfId="1" applyFont="1" applyAlignment="1">
      <alignment horizontal="center" vertical="center"/>
    </xf>
    <xf numFmtId="0" fontId="39" fillId="0" borderId="0" xfId="1" applyFont="1">
      <alignment vertical="center"/>
    </xf>
    <xf numFmtId="0" fontId="40" fillId="0" borderId="0" xfId="1" applyFont="1" applyAlignment="1">
      <alignment horizontal="left" vertical="center"/>
    </xf>
    <xf numFmtId="14" fontId="40" fillId="0" borderId="0" xfId="1" applyNumberFormat="1" applyFont="1">
      <alignment vertical="center"/>
    </xf>
    <xf numFmtId="0" fontId="41" fillId="0" borderId="0" xfId="1" applyFont="1" applyAlignment="1">
      <alignment horizontal="left" vertical="center"/>
    </xf>
    <xf numFmtId="0" fontId="14" fillId="6" borderId="10" xfId="0" applyFont="1" applyFill="1" applyBorder="1" applyAlignment="1">
      <alignment horizontal="center" vertical="center"/>
    </xf>
    <xf numFmtId="2" fontId="14" fillId="6" borderId="10" xfId="0" applyNumberFormat="1" applyFont="1" applyFill="1" applyBorder="1" applyAlignment="1">
      <alignment horizontal="center" vertical="center" wrapText="1"/>
    </xf>
    <xf numFmtId="1" fontId="9" fillId="6" borderId="10" xfId="0" applyNumberFormat="1" applyFont="1" applyFill="1" applyBorder="1" applyAlignment="1">
      <alignment horizontal="center" vertical="center"/>
    </xf>
    <xf numFmtId="164" fontId="9" fillId="6" borderId="10" xfId="1" applyNumberFormat="1" applyFont="1" applyFill="1" applyBorder="1" applyAlignment="1">
      <alignment horizontal="center" vertical="center" shrinkToFit="1"/>
    </xf>
    <xf numFmtId="2" fontId="14" fillId="6" borderId="15" xfId="0" applyNumberFormat="1" applyFont="1" applyFill="1" applyBorder="1" applyAlignment="1">
      <alignment horizontal="center" vertical="center" wrapText="1"/>
    </xf>
    <xf numFmtId="1" fontId="9" fillId="6" borderId="14" xfId="0" applyNumberFormat="1" applyFont="1" applyFill="1" applyBorder="1" applyAlignment="1">
      <alignment horizontal="center" vertical="center"/>
    </xf>
    <xf numFmtId="164" fontId="9" fillId="6" borderId="15" xfId="1" applyNumberFormat="1" applyFont="1" applyFill="1" applyBorder="1" applyAlignment="1">
      <alignment horizontal="center" vertical="center" shrinkToFit="1"/>
    </xf>
    <xf numFmtId="1" fontId="10" fillId="6" borderId="16" xfId="0" applyNumberFormat="1" applyFont="1" applyFill="1" applyBorder="1" applyAlignment="1">
      <alignment horizontal="center" vertical="center" shrinkToFit="1"/>
    </xf>
    <xf numFmtId="1" fontId="10" fillId="6" borderId="17" xfId="0" applyNumberFormat="1" applyFont="1" applyFill="1" applyBorder="1" applyAlignment="1">
      <alignment horizontal="center" vertical="center" shrinkToFit="1"/>
    </xf>
    <xf numFmtId="164" fontId="10" fillId="6" borderId="18" xfId="1" applyNumberFormat="1" applyFont="1" applyFill="1" applyBorder="1" applyAlignment="1">
      <alignment horizontal="center" vertical="center" shrinkToFit="1"/>
    </xf>
    <xf numFmtId="0" fontId="14" fillId="6" borderId="14" xfId="0" applyFont="1" applyFill="1" applyBorder="1" applyAlignment="1">
      <alignment horizontal="center" vertical="center"/>
    </xf>
    <xf numFmtId="164" fontId="10" fillId="6" borderId="17" xfId="1" applyNumberFormat="1" applyFont="1" applyFill="1" applyBorder="1" applyAlignment="1">
      <alignment horizontal="center" vertical="center" shrinkToFit="1"/>
    </xf>
    <xf numFmtId="1" fontId="8" fillId="0" borderId="14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3" borderId="10" xfId="0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 shrinkToFit="1"/>
    </xf>
    <xf numFmtId="0" fontId="8" fillId="3" borderId="15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1" fontId="9" fillId="6" borderId="20" xfId="0" applyNumberFormat="1" applyFont="1" applyFill="1" applyBorder="1" applyAlignment="1">
      <alignment horizontal="center" vertical="center"/>
    </xf>
    <xf numFmtId="1" fontId="10" fillId="6" borderId="21" xfId="0" applyNumberFormat="1" applyFont="1" applyFill="1" applyBorder="1" applyAlignment="1">
      <alignment horizontal="center" vertical="center" shrinkToFi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 shrinkToFit="1"/>
    </xf>
    <xf numFmtId="1" fontId="19" fillId="7" borderId="42" xfId="1" applyNumberFormat="1" applyFont="1" applyFill="1" applyBorder="1" applyAlignment="1">
      <alignment horizontal="center" vertical="center" shrinkToFit="1"/>
    </xf>
    <xf numFmtId="1" fontId="19" fillId="7" borderId="43" xfId="1" applyNumberFormat="1" applyFont="1" applyFill="1" applyBorder="1" applyAlignment="1">
      <alignment horizontal="center" vertical="center" shrinkToFit="1"/>
    </xf>
    <xf numFmtId="9" fontId="19" fillId="7" borderId="43" xfId="1" applyNumberFormat="1" applyFont="1" applyFill="1" applyBorder="1" applyAlignment="1">
      <alignment horizontal="center" vertical="center" shrinkToFit="1"/>
    </xf>
    <xf numFmtId="1" fontId="19" fillId="12" borderId="43" xfId="1" applyNumberFormat="1" applyFont="1" applyFill="1" applyBorder="1" applyAlignment="1">
      <alignment horizontal="center" vertical="center" shrinkToFit="1"/>
    </xf>
    <xf numFmtId="9" fontId="19" fillId="12" borderId="43" xfId="1" applyNumberFormat="1" applyFont="1" applyFill="1" applyBorder="1" applyAlignment="1">
      <alignment horizontal="center" vertical="center" shrinkToFit="1"/>
    </xf>
    <xf numFmtId="9" fontId="19" fillId="12" borderId="44" xfId="1" applyNumberFormat="1" applyFont="1" applyFill="1" applyBorder="1" applyAlignment="1">
      <alignment horizontal="center" vertical="center" shrinkToFi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27" fillId="13" borderId="2" xfId="0" applyFont="1" applyFill="1" applyBorder="1" applyAlignment="1">
      <alignment horizontal="center" vertical="center" shrinkToFit="1"/>
    </xf>
    <xf numFmtId="0" fontId="27" fillId="13" borderId="3" xfId="0" applyFont="1" applyFill="1" applyBorder="1" applyAlignment="1">
      <alignment horizontal="center" vertical="center" shrinkToFit="1"/>
    </xf>
    <xf numFmtId="1" fontId="18" fillId="14" borderId="1" xfId="1" applyNumberFormat="1" applyFont="1" applyFill="1" applyBorder="1" applyAlignment="1">
      <alignment horizontal="center" vertical="center" shrinkToFit="1"/>
    </xf>
    <xf numFmtId="1" fontId="18" fillId="14" borderId="2" xfId="1" applyNumberFormat="1" applyFont="1" applyFill="1" applyBorder="1" applyAlignment="1">
      <alignment horizontal="center" vertical="center" shrinkToFit="1"/>
    </xf>
    <xf numFmtId="1" fontId="19" fillId="5" borderId="2" xfId="1" applyNumberFormat="1" applyFont="1" applyFill="1" applyBorder="1" applyAlignment="1">
      <alignment horizontal="center" vertical="center" shrinkToFit="1"/>
    </xf>
    <xf numFmtId="1" fontId="20" fillId="7" borderId="2" xfId="1" applyNumberFormat="1" applyFont="1" applyFill="1" applyBorder="1" applyAlignment="1">
      <alignment horizontal="center" vertical="center" shrinkToFit="1"/>
    </xf>
    <xf numFmtId="9" fontId="20" fillId="7" borderId="3" xfId="1" applyNumberFormat="1" applyFont="1" applyFill="1" applyBorder="1" applyAlignment="1">
      <alignment horizontal="center" vertical="center" shrinkToFit="1"/>
    </xf>
    <xf numFmtId="9" fontId="18" fillId="15" borderId="3" xfId="1" applyNumberFormat="1" applyFont="1" applyFill="1" applyBorder="1" applyAlignment="1">
      <alignment horizontal="center" vertical="center" shrinkToFit="1"/>
    </xf>
    <xf numFmtId="1" fontId="19" fillId="5" borderId="1" xfId="1" applyNumberFormat="1" applyFont="1" applyFill="1" applyBorder="1" applyAlignment="1">
      <alignment horizontal="center" vertical="center" shrinkToFit="1"/>
    </xf>
    <xf numFmtId="9" fontId="19" fillId="5" borderId="3" xfId="1" applyNumberFormat="1" applyFont="1" applyFill="1" applyBorder="1" applyAlignment="1">
      <alignment horizontal="center" vertical="center" shrinkToFit="1"/>
    </xf>
    <xf numFmtId="1" fontId="21" fillId="16" borderId="1" xfId="1" applyNumberFormat="1" applyFont="1" applyFill="1" applyBorder="1" applyAlignment="1">
      <alignment horizontal="center" vertical="center" shrinkToFit="1"/>
    </xf>
    <xf numFmtId="1" fontId="21" fillId="16" borderId="2" xfId="1" applyNumberFormat="1" applyFont="1" applyFill="1" applyBorder="1" applyAlignment="1">
      <alignment horizontal="center" vertical="center" shrinkToFit="1"/>
    </xf>
    <xf numFmtId="1" fontId="19" fillId="7" borderId="8" xfId="1" applyNumberFormat="1" applyFont="1" applyFill="1" applyBorder="1" applyAlignment="1">
      <alignment horizontal="center" vertical="center" shrinkToFit="1"/>
    </xf>
    <xf numFmtId="1" fontId="19" fillId="7" borderId="2" xfId="1" applyNumberFormat="1" applyFont="1" applyFill="1" applyBorder="1" applyAlignment="1">
      <alignment horizontal="center" vertical="center" shrinkToFit="1"/>
    </xf>
    <xf numFmtId="9" fontId="19" fillId="7" borderId="2" xfId="1" applyNumberFormat="1" applyFont="1" applyFill="1" applyBorder="1" applyAlignment="1">
      <alignment horizontal="center" vertical="center" shrinkToFit="1"/>
    </xf>
    <xf numFmtId="1" fontId="19" fillId="18" borderId="2" xfId="1" applyNumberFormat="1" applyFont="1" applyFill="1" applyBorder="1" applyAlignment="1">
      <alignment horizontal="center" vertical="center" shrinkToFit="1"/>
    </xf>
    <xf numFmtId="9" fontId="19" fillId="18" borderId="2" xfId="1" applyNumberFormat="1" applyFont="1" applyFill="1" applyBorder="1" applyAlignment="1">
      <alignment horizontal="center" vertical="center" shrinkToFit="1"/>
    </xf>
    <xf numFmtId="9" fontId="19" fillId="18" borderId="9" xfId="1" applyNumberFormat="1" applyFont="1" applyFill="1" applyBorder="1" applyAlignment="1">
      <alignment horizontal="center" vertical="center" shrinkToFit="1"/>
    </xf>
    <xf numFmtId="1" fontId="19" fillId="7" borderId="1" xfId="1" applyNumberFormat="1" applyFont="1" applyFill="1" applyBorder="1" applyAlignment="1">
      <alignment horizontal="center" vertical="center" shrinkToFit="1"/>
    </xf>
    <xf numFmtId="9" fontId="21" fillId="17" borderId="3" xfId="1" applyNumberFormat="1" applyFont="1" applyFill="1" applyBorder="1" applyAlignment="1">
      <alignment horizontal="center" vertical="center" shrinkToFit="1"/>
    </xf>
    <xf numFmtId="9" fontId="19" fillId="7" borderId="9" xfId="1" applyNumberFormat="1" applyFont="1" applyFill="1" applyBorder="1" applyAlignment="1">
      <alignment horizontal="center" vertical="center" shrinkToFit="1"/>
    </xf>
    <xf numFmtId="0" fontId="38" fillId="4" borderId="42" xfId="1" applyFont="1" applyFill="1" applyBorder="1" applyAlignment="1">
      <alignment horizontal="center" vertical="center" shrinkToFit="1"/>
    </xf>
    <xf numFmtId="0" fontId="38" fillId="4" borderId="66" xfId="1" applyFont="1" applyFill="1" applyBorder="1" applyAlignment="1">
      <alignment horizontal="center" vertical="center" shrinkToFit="1"/>
    </xf>
    <xf numFmtId="0" fontId="38" fillId="4" borderId="43" xfId="1" applyFont="1" applyFill="1" applyBorder="1" applyAlignment="1">
      <alignment horizontal="center" vertical="center" shrinkToFit="1"/>
    </xf>
    <xf numFmtId="0" fontId="38" fillId="4" borderId="67" xfId="1" applyFont="1" applyFill="1" applyBorder="1" applyAlignment="1">
      <alignment horizontal="center" vertical="center" shrinkToFit="1"/>
    </xf>
    <xf numFmtId="1" fontId="18" fillId="10" borderId="66" xfId="1" applyNumberFormat="1" applyFont="1" applyFill="1" applyBorder="1" applyAlignment="1">
      <alignment horizontal="center" vertical="center" shrinkToFit="1"/>
    </xf>
    <xf numFmtId="1" fontId="18" fillId="10" borderId="43" xfId="1" applyNumberFormat="1" applyFont="1" applyFill="1" applyBorder="1" applyAlignment="1">
      <alignment horizontal="center" vertical="center" shrinkToFit="1"/>
    </xf>
    <xf numFmtId="1" fontId="19" fillId="5" borderId="43" xfId="1" applyNumberFormat="1" applyFont="1" applyFill="1" applyBorder="1" applyAlignment="1">
      <alignment horizontal="center" vertical="center" shrinkToFit="1"/>
    </xf>
    <xf numFmtId="1" fontId="20" fillId="7" borderId="43" xfId="1" applyNumberFormat="1" applyFont="1" applyFill="1" applyBorder="1" applyAlignment="1">
      <alignment horizontal="center" vertical="center" shrinkToFit="1"/>
    </xf>
    <xf numFmtId="9" fontId="20" fillId="7" borderId="67" xfId="1" applyNumberFormat="1" applyFont="1" applyFill="1" applyBorder="1" applyAlignment="1">
      <alignment horizontal="center" vertical="center" shrinkToFit="1"/>
    </xf>
    <xf numFmtId="9" fontId="18" fillId="6" borderId="67" xfId="1" applyNumberFormat="1" applyFont="1" applyFill="1" applyBorder="1" applyAlignment="1">
      <alignment horizontal="center" vertical="center" shrinkToFit="1"/>
    </xf>
    <xf numFmtId="1" fontId="19" fillId="5" borderId="66" xfId="1" applyNumberFormat="1" applyFont="1" applyFill="1" applyBorder="1" applyAlignment="1">
      <alignment horizontal="center" vertical="center" shrinkToFit="1"/>
    </xf>
    <xf numFmtId="9" fontId="19" fillId="5" borderId="67" xfId="1" applyNumberFormat="1" applyFont="1" applyFill="1" applyBorder="1" applyAlignment="1">
      <alignment horizontal="center" vertical="center" shrinkToFit="1"/>
    </xf>
    <xf numFmtId="1" fontId="21" fillId="11" borderId="66" xfId="1" applyNumberFormat="1" applyFont="1" applyFill="1" applyBorder="1" applyAlignment="1">
      <alignment horizontal="center" vertical="center" shrinkToFit="1"/>
    </xf>
    <xf numFmtId="1" fontId="21" fillId="11" borderId="43" xfId="1" applyNumberFormat="1" applyFont="1" applyFill="1" applyBorder="1" applyAlignment="1">
      <alignment horizontal="center" vertical="center" shrinkToFit="1"/>
    </xf>
    <xf numFmtId="9" fontId="21" fillId="9" borderId="67" xfId="1" applyNumberFormat="1" applyFont="1" applyFill="1" applyBorder="1" applyAlignment="1">
      <alignment horizontal="center" vertical="center" shrinkToFit="1"/>
    </xf>
    <xf numFmtId="1" fontId="19" fillId="7" borderId="66" xfId="1" applyNumberFormat="1" applyFont="1" applyFill="1" applyBorder="1" applyAlignment="1">
      <alignment horizontal="center" vertical="center" shrinkToFit="1"/>
    </xf>
    <xf numFmtId="9" fontId="19" fillId="7" borderId="44" xfId="1" applyNumberFormat="1" applyFont="1" applyFill="1" applyBorder="1" applyAlignment="1">
      <alignment horizontal="center" vertical="center" shrinkToFit="1"/>
    </xf>
    <xf numFmtId="0" fontId="27" fillId="0" borderId="1" xfId="1" applyFont="1" applyBorder="1" applyAlignment="1">
      <alignment horizontal="center" vertical="center" shrinkToFit="1"/>
    </xf>
    <xf numFmtId="0" fontId="16" fillId="19" borderId="2" xfId="0" applyFont="1" applyFill="1" applyBorder="1" applyAlignment="1">
      <alignment horizontal="left" vertical="center"/>
    </xf>
    <xf numFmtId="0" fontId="42" fillId="7" borderId="2" xfId="1" applyFont="1" applyFill="1" applyBorder="1" applyAlignment="1">
      <alignment horizontal="center" vertical="center" wrapText="1"/>
    </xf>
    <xf numFmtId="0" fontId="43" fillId="7" borderId="5" xfId="1" applyFont="1" applyFill="1" applyBorder="1" applyAlignment="1">
      <alignment horizontal="center" vertical="center" wrapText="1"/>
    </xf>
    <xf numFmtId="0" fontId="43" fillId="7" borderId="6" xfId="1" applyFont="1" applyFill="1" applyBorder="1" applyAlignment="1">
      <alignment horizontal="center" vertical="center" wrapText="1"/>
    </xf>
    <xf numFmtId="0" fontId="43" fillId="7" borderId="7" xfId="1" applyFont="1" applyFill="1" applyBorder="1" applyAlignment="1">
      <alignment horizontal="center" vertical="center" wrapText="1"/>
    </xf>
    <xf numFmtId="0" fontId="24" fillId="7" borderId="2" xfId="1" applyFont="1" applyFill="1" applyBorder="1" applyAlignment="1">
      <alignment horizontal="center" vertical="center" wrapText="1"/>
    </xf>
    <xf numFmtId="0" fontId="44" fillId="8" borderId="30" xfId="1" applyFont="1" applyFill="1" applyBorder="1" applyAlignment="1">
      <alignment horizontal="center" vertical="center" wrapText="1" shrinkToFit="1"/>
    </xf>
    <xf numFmtId="0" fontId="44" fillId="8" borderId="31" xfId="1" applyFont="1" applyFill="1" applyBorder="1" applyAlignment="1">
      <alignment horizontal="center" vertical="center" wrapText="1" shrinkToFit="1"/>
    </xf>
    <xf numFmtId="0" fontId="44" fillId="8" borderId="32" xfId="1" applyFont="1" applyFill="1" applyBorder="1" applyAlignment="1">
      <alignment horizontal="center" vertical="center" wrapText="1" shrinkToFit="1"/>
    </xf>
    <xf numFmtId="0" fontId="23" fillId="6" borderId="23" xfId="1" applyFont="1" applyFill="1" applyBorder="1" applyAlignment="1">
      <alignment horizontal="center" vertical="center" wrapText="1"/>
    </xf>
    <xf numFmtId="0" fontId="23" fillId="6" borderId="22" xfId="1" applyFont="1" applyFill="1" applyBorder="1" applyAlignment="1">
      <alignment horizontal="center" vertical="center" wrapText="1"/>
    </xf>
    <xf numFmtId="0" fontId="24" fillId="5" borderId="4" xfId="1" applyFont="1" applyFill="1" applyBorder="1" applyAlignment="1">
      <alignment horizontal="center" vertical="center" wrapText="1"/>
    </xf>
    <xf numFmtId="0" fontId="24" fillId="5" borderId="22" xfId="1" applyFont="1" applyFill="1" applyBorder="1" applyAlignment="1">
      <alignment horizontal="center" vertical="center" wrapText="1"/>
    </xf>
    <xf numFmtId="0" fontId="29" fillId="7" borderId="56" xfId="1" applyFont="1" applyFill="1" applyBorder="1" applyAlignment="1">
      <alignment horizontal="center" vertical="center"/>
    </xf>
    <xf numFmtId="0" fontId="29" fillId="7" borderId="57" xfId="1" applyFont="1" applyFill="1" applyBorder="1" applyAlignment="1">
      <alignment horizontal="center" vertical="center"/>
    </xf>
    <xf numFmtId="0" fontId="29" fillId="7" borderId="58" xfId="1" applyFont="1" applyFill="1" applyBorder="1" applyAlignment="1">
      <alignment horizontal="center" vertical="center"/>
    </xf>
    <xf numFmtId="0" fontId="45" fillId="7" borderId="24" xfId="1" applyFont="1" applyFill="1" applyBorder="1" applyAlignment="1">
      <alignment horizontal="center" vertical="center" wrapText="1"/>
    </xf>
    <xf numFmtId="0" fontId="45" fillId="7" borderId="25" xfId="1" applyFont="1" applyFill="1" applyBorder="1" applyAlignment="1">
      <alignment horizontal="center" vertical="center" wrapText="1"/>
    </xf>
    <xf numFmtId="0" fontId="45" fillId="7" borderId="26" xfId="1" applyFont="1" applyFill="1" applyBorder="1" applyAlignment="1">
      <alignment horizontal="center" vertical="center" wrapText="1"/>
    </xf>
    <xf numFmtId="0" fontId="45" fillId="7" borderId="27" xfId="1" applyFont="1" applyFill="1" applyBorder="1" applyAlignment="1">
      <alignment horizontal="center" vertical="center" wrapText="1"/>
    </xf>
    <xf numFmtId="0" fontId="45" fillId="7" borderId="28" xfId="1" applyFont="1" applyFill="1" applyBorder="1" applyAlignment="1">
      <alignment horizontal="center" vertical="center" wrapText="1"/>
    </xf>
    <xf numFmtId="0" fontId="45" fillId="7" borderId="29" xfId="1" applyFont="1" applyFill="1" applyBorder="1" applyAlignment="1">
      <alignment horizontal="center" vertical="center" wrapText="1"/>
    </xf>
    <xf numFmtId="0" fontId="33" fillId="8" borderId="30" xfId="1" applyFont="1" applyFill="1" applyBorder="1" applyAlignment="1">
      <alignment horizontal="center" vertical="center" wrapText="1" shrinkToFit="1"/>
    </xf>
    <xf numFmtId="0" fontId="33" fillId="8" borderId="31" xfId="1" applyFont="1" applyFill="1" applyBorder="1" applyAlignment="1">
      <alignment horizontal="center" vertical="center" wrapText="1" shrinkToFit="1"/>
    </xf>
    <xf numFmtId="0" fontId="33" fillId="8" borderId="32" xfId="1" applyFont="1" applyFill="1" applyBorder="1" applyAlignment="1">
      <alignment horizontal="center" vertical="center" wrapText="1" shrinkToFit="1"/>
    </xf>
    <xf numFmtId="0" fontId="34" fillId="7" borderId="24" xfId="1" applyFont="1" applyFill="1" applyBorder="1" applyAlignment="1">
      <alignment horizontal="center" vertical="center" wrapText="1"/>
    </xf>
    <xf numFmtId="0" fontId="34" fillId="7" borderId="25" xfId="1" applyFont="1" applyFill="1" applyBorder="1" applyAlignment="1">
      <alignment horizontal="center" vertical="center" wrapText="1"/>
    </xf>
    <xf numFmtId="0" fontId="34" fillId="7" borderId="26" xfId="1" applyFont="1" applyFill="1" applyBorder="1" applyAlignment="1">
      <alignment horizontal="center" vertical="center" wrapText="1"/>
    </xf>
    <xf numFmtId="0" fontId="34" fillId="7" borderId="27" xfId="1" applyFont="1" applyFill="1" applyBorder="1" applyAlignment="1">
      <alignment horizontal="center" vertical="center" wrapText="1"/>
    </xf>
    <xf numFmtId="0" fontId="34" fillId="7" borderId="28" xfId="1" applyFont="1" applyFill="1" applyBorder="1" applyAlignment="1">
      <alignment horizontal="center" vertical="center" wrapText="1"/>
    </xf>
    <xf numFmtId="0" fontId="34" fillId="7" borderId="29" xfId="1" applyFont="1" applyFill="1" applyBorder="1" applyAlignment="1">
      <alignment horizontal="center" vertical="center" wrapText="1"/>
    </xf>
    <xf numFmtId="0" fontId="30" fillId="6" borderId="59" xfId="1" applyFont="1" applyFill="1" applyBorder="1" applyAlignment="1">
      <alignment horizontal="center" vertical="center" wrapText="1"/>
    </xf>
    <xf numFmtId="0" fontId="30" fillId="6" borderId="6" xfId="1" applyFont="1" applyFill="1" applyBorder="1" applyAlignment="1">
      <alignment horizontal="center" vertical="center" wrapText="1"/>
    </xf>
    <xf numFmtId="0" fontId="30" fillId="6" borderId="60" xfId="1" applyFont="1" applyFill="1" applyBorder="1" applyAlignment="1">
      <alignment horizontal="center" vertical="center" wrapText="1"/>
    </xf>
    <xf numFmtId="0" fontId="30" fillId="6" borderId="1" xfId="1" applyFont="1" applyFill="1" applyBorder="1" applyAlignment="1">
      <alignment horizontal="center" vertical="center" wrapText="1"/>
    </xf>
    <xf numFmtId="0" fontId="30" fillId="6" borderId="2" xfId="1" applyFont="1" applyFill="1" applyBorder="1" applyAlignment="1">
      <alignment horizontal="center" vertical="center" wrapText="1"/>
    </xf>
    <xf numFmtId="0" fontId="30" fillId="6" borderId="3" xfId="1" applyFont="1" applyFill="1" applyBorder="1" applyAlignment="1">
      <alignment horizontal="center" vertical="center" wrapText="1"/>
    </xf>
    <xf numFmtId="0" fontId="31" fillId="5" borderId="59" xfId="1" applyFont="1" applyFill="1" applyBorder="1" applyAlignment="1">
      <alignment horizontal="center" vertical="center" wrapText="1"/>
    </xf>
    <xf numFmtId="0" fontId="31" fillId="5" borderId="6" xfId="1" applyFont="1" applyFill="1" applyBorder="1" applyAlignment="1">
      <alignment horizontal="center" vertical="center" wrapText="1"/>
    </xf>
    <xf numFmtId="0" fontId="31" fillId="5" borderId="60" xfId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31" fillId="5" borderId="2" xfId="1" applyFont="1" applyFill="1" applyBorder="1" applyAlignment="1">
      <alignment horizontal="center" vertical="center" wrapText="1"/>
    </xf>
    <xf numFmtId="0" fontId="31" fillId="5" borderId="3" xfId="1" applyFont="1" applyFill="1" applyBorder="1" applyAlignment="1">
      <alignment horizontal="center" vertical="center" wrapText="1"/>
    </xf>
    <xf numFmtId="0" fontId="32" fillId="9" borderId="59" xfId="1" applyFont="1" applyFill="1" applyBorder="1" applyAlignment="1">
      <alignment horizontal="center" vertical="center" wrapText="1"/>
    </xf>
    <xf numFmtId="0" fontId="32" fillId="9" borderId="6" xfId="1" applyFont="1" applyFill="1" applyBorder="1" applyAlignment="1">
      <alignment horizontal="center" vertical="center" wrapText="1"/>
    </xf>
    <xf numFmtId="0" fontId="32" fillId="9" borderId="60" xfId="1" applyFont="1" applyFill="1" applyBorder="1" applyAlignment="1">
      <alignment horizontal="center" vertical="center" wrapText="1"/>
    </xf>
    <xf numFmtId="0" fontId="32" fillId="9" borderId="1" xfId="1" applyFont="1" applyFill="1" applyBorder="1" applyAlignment="1">
      <alignment horizontal="center" vertical="center" wrapText="1"/>
    </xf>
    <xf numFmtId="0" fontId="32" fillId="9" borderId="2" xfId="1" applyFont="1" applyFill="1" applyBorder="1" applyAlignment="1">
      <alignment horizontal="center" vertical="center" wrapText="1"/>
    </xf>
    <xf numFmtId="0" fontId="32" fillId="9" borderId="3" xfId="1" applyFont="1" applyFill="1" applyBorder="1" applyAlignment="1">
      <alignment horizontal="center" vertical="center" wrapText="1"/>
    </xf>
    <xf numFmtId="0" fontId="23" fillId="6" borderId="1" xfId="1" applyFont="1" applyFill="1" applyBorder="1" applyAlignment="1">
      <alignment horizontal="center" vertical="center" wrapText="1"/>
    </xf>
    <xf numFmtId="0" fontId="23" fillId="6" borderId="2" xfId="1" applyFont="1" applyFill="1" applyBorder="1" applyAlignment="1">
      <alignment horizontal="center" vertical="center" wrapText="1"/>
    </xf>
    <xf numFmtId="0" fontId="23" fillId="6" borderId="3" xfId="1" applyFont="1" applyFill="1" applyBorder="1" applyAlignment="1">
      <alignment horizontal="center" vertical="center" wrapText="1"/>
    </xf>
    <xf numFmtId="0" fontId="24" fillId="5" borderId="1" xfId="1" applyFont="1" applyFill="1" applyBorder="1" applyAlignment="1">
      <alignment horizontal="center" vertical="center" wrapText="1"/>
    </xf>
    <xf numFmtId="0" fontId="24" fillId="5" borderId="2" xfId="1" applyFont="1" applyFill="1" applyBorder="1" applyAlignment="1">
      <alignment horizontal="center" vertical="center" wrapText="1"/>
    </xf>
    <xf numFmtId="0" fontId="24" fillId="5" borderId="3" xfId="1" applyFont="1" applyFill="1" applyBorder="1" applyAlignment="1">
      <alignment horizontal="center" vertical="center" wrapText="1"/>
    </xf>
    <xf numFmtId="0" fontId="25" fillId="9" borderId="1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7" fillId="2" borderId="64" xfId="1" applyFont="1" applyFill="1" applyBorder="1" applyAlignment="1">
      <alignment horizontal="center" vertical="center" wrapText="1"/>
    </xf>
    <xf numFmtId="0" fontId="17" fillId="2" borderId="65" xfId="1" applyFont="1" applyFill="1" applyBorder="1" applyAlignment="1">
      <alignment horizontal="center" vertical="center" wrapText="1"/>
    </xf>
    <xf numFmtId="0" fontId="17" fillId="2" borderId="54" xfId="1" applyFont="1" applyFill="1" applyBorder="1" applyAlignment="1">
      <alignment horizontal="center" vertical="center" wrapText="1" shrinkToFit="1"/>
    </xf>
    <xf numFmtId="0" fontId="17" fillId="2" borderId="46" xfId="1" applyFont="1" applyFill="1" applyBorder="1" applyAlignment="1">
      <alignment horizontal="center" vertical="center" wrapText="1" shrinkToFit="1"/>
    </xf>
    <xf numFmtId="0" fontId="17" fillId="2" borderId="37" xfId="1" applyFont="1" applyFill="1" applyBorder="1" applyAlignment="1">
      <alignment horizontal="center" vertical="center" wrapText="1" shrinkToFit="1"/>
    </xf>
    <xf numFmtId="0" fontId="28" fillId="2" borderId="54" xfId="1" applyFont="1" applyFill="1" applyBorder="1" applyAlignment="1">
      <alignment horizontal="center" textRotation="90" wrapText="1"/>
    </xf>
    <xf numFmtId="0" fontId="28" fillId="2" borderId="46" xfId="1" applyFont="1" applyFill="1" applyBorder="1" applyAlignment="1">
      <alignment horizontal="center" textRotation="90" wrapText="1"/>
    </xf>
    <xf numFmtId="0" fontId="28" fillId="2" borderId="37" xfId="1" applyFont="1" applyFill="1" applyBorder="1" applyAlignment="1">
      <alignment horizontal="center" textRotation="90" wrapText="1"/>
    </xf>
    <xf numFmtId="0" fontId="28" fillId="2" borderId="55" xfId="1" applyFont="1" applyFill="1" applyBorder="1" applyAlignment="1">
      <alignment horizontal="center" textRotation="90" wrapText="1"/>
    </xf>
    <xf numFmtId="0" fontId="28" fillId="2" borderId="45" xfId="1" applyFont="1" applyFill="1" applyBorder="1" applyAlignment="1">
      <alignment horizontal="center" textRotation="90" wrapText="1"/>
    </xf>
    <xf numFmtId="0" fontId="28" fillId="2" borderId="38" xfId="1" applyFont="1" applyFill="1" applyBorder="1" applyAlignment="1">
      <alignment horizontal="center" textRotation="90" wrapText="1"/>
    </xf>
    <xf numFmtId="0" fontId="24" fillId="7" borderId="9" xfId="1" applyFont="1" applyFill="1" applyBorder="1" applyAlignment="1">
      <alignment horizontal="center" vertical="center" wrapText="1"/>
    </xf>
    <xf numFmtId="0" fontId="35" fillId="8" borderId="30" xfId="1" applyFont="1" applyFill="1" applyBorder="1" applyAlignment="1">
      <alignment horizontal="center" vertical="center" wrapText="1" shrinkToFit="1"/>
    </xf>
    <xf numFmtId="0" fontId="35" fillId="8" borderId="31" xfId="1" applyFont="1" applyFill="1" applyBorder="1" applyAlignment="1">
      <alignment horizontal="center" vertical="center" wrapText="1" shrinkToFit="1"/>
    </xf>
    <xf numFmtId="0" fontId="35" fillId="8" borderId="32" xfId="1" applyFont="1" applyFill="1" applyBorder="1" applyAlignment="1">
      <alignment horizontal="center" vertical="center" wrapText="1" shrinkToFit="1"/>
    </xf>
    <xf numFmtId="0" fontId="42" fillId="7" borderId="9" xfId="1" applyFont="1" applyFill="1" applyBorder="1" applyAlignment="1">
      <alignment horizontal="center" vertical="center" wrapText="1"/>
    </xf>
    <xf numFmtId="0" fontId="46" fillId="8" borderId="30" xfId="1" applyFont="1" applyFill="1" applyBorder="1" applyAlignment="1">
      <alignment horizontal="center" vertical="center" wrapText="1" shrinkToFit="1"/>
    </xf>
    <xf numFmtId="0" fontId="46" fillId="8" borderId="31" xfId="1" applyFont="1" applyFill="1" applyBorder="1" applyAlignment="1">
      <alignment horizontal="center" vertical="center" wrapText="1" shrinkToFit="1"/>
    </xf>
    <xf numFmtId="0" fontId="46" fillId="8" borderId="32" xfId="1" applyFont="1" applyFill="1" applyBorder="1" applyAlignment="1">
      <alignment horizontal="center" vertical="center" wrapText="1" shrinkToFit="1"/>
    </xf>
    <xf numFmtId="0" fontId="42" fillId="7" borderId="8" xfId="1" applyFont="1" applyFill="1" applyBorder="1" applyAlignment="1">
      <alignment horizontal="center" vertical="center" wrapText="1"/>
    </xf>
    <xf numFmtId="0" fontId="25" fillId="9" borderId="2" xfId="1" applyFont="1" applyFill="1" applyBorder="1" applyAlignment="1">
      <alignment horizontal="center" vertical="center" wrapText="1"/>
    </xf>
    <xf numFmtId="0" fontId="25" fillId="9" borderId="3" xfId="1" applyFont="1" applyFill="1" applyBorder="1" applyAlignment="1">
      <alignment horizontal="center" vertical="center" wrapText="1"/>
    </xf>
    <xf numFmtId="0" fontId="24" fillId="7" borderId="8" xfId="1" applyFont="1" applyFill="1" applyBorder="1" applyAlignment="1">
      <alignment horizontal="center" vertical="center" wrapText="1"/>
    </xf>
    <xf numFmtId="0" fontId="42" fillId="7" borderId="61" xfId="1" applyFont="1" applyFill="1" applyBorder="1" applyAlignment="1">
      <alignment horizontal="center" vertical="center" wrapText="1"/>
    </xf>
    <xf numFmtId="0" fontId="42" fillId="7" borderId="62" xfId="1" applyFont="1" applyFill="1" applyBorder="1" applyAlignment="1">
      <alignment horizontal="center" vertical="center" wrapText="1"/>
    </xf>
    <xf numFmtId="0" fontId="42" fillId="7" borderId="63" xfId="1" applyFont="1" applyFill="1" applyBorder="1" applyAlignment="1">
      <alignment horizontal="center" vertical="center" wrapText="1"/>
    </xf>
    <xf numFmtId="0" fontId="42" fillId="7" borderId="33" xfId="1" applyFont="1" applyFill="1" applyBorder="1" applyAlignment="1">
      <alignment horizontal="center" vertical="center" wrapText="1"/>
    </xf>
    <xf numFmtId="0" fontId="42" fillId="7" borderId="28" xfId="1" applyFont="1" applyFill="1" applyBorder="1" applyAlignment="1">
      <alignment horizontal="center" vertical="center" wrapText="1"/>
    </xf>
    <xf numFmtId="0" fontId="42" fillId="7" borderId="39" xfId="1" applyFont="1" applyFill="1" applyBorder="1" applyAlignment="1">
      <alignment horizontal="center" vertical="center" wrapText="1"/>
    </xf>
    <xf numFmtId="0" fontId="24" fillId="7" borderId="34" xfId="1" applyFont="1" applyFill="1" applyBorder="1" applyAlignment="1">
      <alignment horizontal="center" vertical="center" wrapText="1"/>
    </xf>
    <xf numFmtId="0" fontId="24" fillId="7" borderId="35" xfId="1" applyFont="1" applyFill="1" applyBorder="1" applyAlignment="1">
      <alignment horizontal="center" vertical="center" wrapText="1"/>
    </xf>
    <xf numFmtId="0" fontId="24" fillId="7" borderId="36" xfId="1" applyFont="1" applyFill="1" applyBorder="1" applyAlignment="1">
      <alignment horizontal="center" vertical="center" wrapText="1"/>
    </xf>
    <xf numFmtId="0" fontId="24" fillId="7" borderId="37" xfId="1" applyFont="1" applyFill="1" applyBorder="1" applyAlignment="1">
      <alignment horizontal="center" vertical="center" wrapText="1"/>
    </xf>
    <xf numFmtId="0" fontId="24" fillId="7" borderId="40" xfId="1" applyFont="1" applyFill="1" applyBorder="1" applyAlignment="1">
      <alignment horizontal="center" vertical="center" wrapText="1"/>
    </xf>
    <xf numFmtId="0" fontId="24" fillId="7" borderId="41" xfId="1" applyFont="1" applyFill="1" applyBorder="1" applyAlignment="1">
      <alignment horizontal="center" vertical="center" wrapText="1"/>
    </xf>
    <xf numFmtId="0" fontId="14" fillId="6" borderId="47" xfId="0" applyFont="1" applyFill="1" applyBorder="1" applyAlignment="1">
      <alignment horizontal="center" vertical="center" shrinkToFit="1"/>
    </xf>
    <xf numFmtId="0" fontId="14" fillId="6" borderId="48" xfId="0" applyFont="1" applyFill="1" applyBorder="1" applyAlignment="1">
      <alignment horizontal="center" vertical="center" shrinkToFit="1"/>
    </xf>
    <xf numFmtId="0" fontId="14" fillId="6" borderId="49" xfId="0" applyFont="1" applyFill="1" applyBorder="1" applyAlignment="1">
      <alignment horizontal="center" vertical="center" shrinkToFit="1"/>
    </xf>
    <xf numFmtId="0" fontId="14" fillId="6" borderId="50" xfId="0" applyFont="1" applyFill="1" applyBorder="1" applyAlignment="1">
      <alignment horizontal="center" vertical="center" shrinkToFit="1"/>
    </xf>
    <xf numFmtId="0" fontId="14" fillId="6" borderId="51" xfId="0" applyFont="1" applyFill="1" applyBorder="1" applyAlignment="1">
      <alignment horizontal="center" vertical="center" shrinkToFit="1"/>
    </xf>
    <xf numFmtId="0" fontId="14" fillId="6" borderId="52" xfId="0" applyFont="1" applyFill="1" applyBorder="1" applyAlignment="1">
      <alignment horizontal="center" vertical="center" shrinkToFi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2" fontId="14" fillId="6" borderId="13" xfId="0" applyNumberFormat="1" applyFont="1" applyFill="1" applyBorder="1" applyAlignment="1">
      <alignment horizontal="center" vertical="center" wrapText="1"/>
    </xf>
    <xf numFmtId="2" fontId="14" fillId="6" borderId="15" xfId="0" applyNumberFormat="1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shrinkToFit="1"/>
    </xf>
    <xf numFmtId="0" fontId="14" fillId="6" borderId="10" xfId="0" applyFont="1" applyFill="1" applyBorder="1" applyAlignment="1">
      <alignment horizontal="center" vertical="center" shrinkToFit="1"/>
    </xf>
    <xf numFmtId="0" fontId="14" fillId="6" borderId="20" xfId="0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 wrapText="1" shrinkToFit="1"/>
    </xf>
    <xf numFmtId="0" fontId="14" fillId="6" borderId="12" xfId="0" applyFont="1" applyFill="1" applyBorder="1" applyAlignment="1">
      <alignment horizontal="center" textRotation="90" wrapText="1"/>
    </xf>
    <xf numFmtId="0" fontId="14" fillId="6" borderId="10" xfId="0" applyFont="1" applyFill="1" applyBorder="1" applyAlignment="1">
      <alignment horizontal="center" textRotation="90" wrapText="1"/>
    </xf>
    <xf numFmtId="0" fontId="14" fillId="6" borderId="13" xfId="0" applyFont="1" applyFill="1" applyBorder="1" applyAlignment="1">
      <alignment horizontal="center" textRotation="90" wrapText="1"/>
    </xf>
    <xf numFmtId="0" fontId="14" fillId="6" borderId="15" xfId="0" applyFont="1" applyFill="1" applyBorder="1" applyAlignment="1">
      <alignment horizontal="center" textRotation="90" wrapText="1"/>
    </xf>
    <xf numFmtId="0" fontId="14" fillId="6" borderId="14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 wrapText="1" shrinkToFit="1"/>
    </xf>
    <xf numFmtId="0" fontId="47" fillId="6" borderId="10" xfId="0" applyFont="1" applyFill="1" applyBorder="1" applyAlignment="1">
      <alignment horizontal="center" vertical="center" wrapText="1" shrinkToFit="1"/>
    </xf>
    <xf numFmtId="0" fontId="47" fillId="6" borderId="20" xfId="0" applyFont="1" applyFill="1" applyBorder="1" applyAlignment="1">
      <alignment horizontal="center" vertical="center" wrapText="1" shrinkToFit="1"/>
    </xf>
    <xf numFmtId="0" fontId="47" fillId="6" borderId="68" xfId="0" applyFont="1" applyFill="1" applyBorder="1" applyAlignment="1">
      <alignment horizontal="center" vertical="center" wrapText="1" shrinkToFit="1"/>
    </xf>
    <xf numFmtId="0" fontId="14" fillId="6" borderId="10" xfId="0" applyFont="1" applyFill="1" applyBorder="1" applyAlignment="1">
      <alignment horizontal="center" vertical="center" wrapText="1" shrinkToFit="1"/>
    </xf>
    <xf numFmtId="0" fontId="14" fillId="6" borderId="14" xfId="0" applyFont="1" applyFill="1" applyBorder="1" applyAlignment="1">
      <alignment horizontal="center" vertical="center" wrapText="1" shrinkToFit="1"/>
    </xf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3 10" xfId="3" xr:uid="{00000000-0005-0000-0000-000003000000}"/>
    <cellStyle name="Normal 7 10" xfId="4" xr:uid="{00000000-0005-0000-0000-000004000000}"/>
    <cellStyle name="Normal 8" xfId="5" xr:uid="{00000000-0005-0000-0000-000005000000}"/>
    <cellStyle name="Normal 9 10" xfId="6" xr:uid="{00000000-0005-0000-0000-000006000000}"/>
  </cellStyles>
  <dxfs count="4"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colors>
    <mruColors>
      <color rgb="FF2F83FF"/>
      <color rgb="FFFDE9D9"/>
      <color rgb="FF2F2FFF"/>
      <color rgb="FFFFFFC9"/>
      <color rgb="FFA7FFE2"/>
      <color rgb="FF2121FF"/>
      <color rgb="FFFF0000"/>
      <color rgb="FFFF0066"/>
      <color rgb="FF990099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BP53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B6" sqref="B6"/>
    </sheetView>
  </sheetViews>
  <sheetFormatPr defaultColWidth="10" defaultRowHeight="15" x14ac:dyDescent="0.25"/>
  <cols>
    <col min="1" max="1" width="12" style="6" hidden="1" customWidth="1"/>
    <col min="2" max="2" width="22.140625" style="6" customWidth="1"/>
    <col min="3" max="3" width="6.28515625" style="7" hidden="1" customWidth="1"/>
    <col min="4" max="4" width="7.5703125" style="7" hidden="1" customWidth="1"/>
    <col min="5" max="22" width="4.85546875" style="7" customWidth="1"/>
    <col min="23" max="23" width="4.85546875" style="8" customWidth="1"/>
    <col min="24" max="24" width="4.85546875" style="7" customWidth="1"/>
    <col min="25" max="26" width="5.85546875" style="7" customWidth="1"/>
    <col min="27" max="27" width="5.5703125" style="7" customWidth="1"/>
    <col min="28" max="43" width="4.85546875" style="7" customWidth="1"/>
    <col min="44" max="45" width="5.5703125" style="7" customWidth="1"/>
    <col min="46" max="46" width="4.85546875" style="8" customWidth="1"/>
    <col min="47" max="47" width="4.85546875" style="7" customWidth="1"/>
    <col min="48" max="49" width="5.85546875" style="7" customWidth="1"/>
    <col min="50" max="52" width="5.5703125" style="7" customWidth="1"/>
    <col min="53" max="53" width="6.140625" style="7" customWidth="1"/>
    <col min="54" max="61" width="5.5703125" style="4" customWidth="1"/>
    <col min="62" max="63" width="5.85546875" style="7" customWidth="1"/>
    <col min="64" max="64" width="5.5703125" style="7" customWidth="1"/>
    <col min="65" max="65" width="1.140625" style="4" customWidth="1"/>
    <col min="66" max="67" width="5.85546875" style="7" customWidth="1"/>
    <col min="68" max="68" width="5.5703125" style="7" customWidth="1"/>
    <col min="69" max="16384" width="10" style="4"/>
  </cols>
  <sheetData>
    <row r="1" spans="1:68" ht="30" hidden="1" x14ac:dyDescent="0.25">
      <c r="A1" s="11"/>
      <c r="B1" s="11" t="s">
        <v>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J1" s="11"/>
      <c r="BK1" s="11"/>
      <c r="BL1" s="11"/>
      <c r="BN1" s="11"/>
      <c r="BO1" s="11"/>
      <c r="BP1" s="11"/>
    </row>
    <row r="2" spans="1:68" ht="19.5" customHeight="1" thickBot="1" x14ac:dyDescent="0.3">
      <c r="A2" s="14"/>
      <c r="B2" s="14" t="s">
        <v>27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 t="str">
        <f>'Format-Blr'!U2</f>
        <v>Date:18-04-2026</v>
      </c>
      <c r="V2" s="14"/>
      <c r="W2" s="14"/>
      <c r="X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5"/>
      <c r="AQ2" s="14"/>
      <c r="AR2" s="15"/>
      <c r="AS2" s="14"/>
      <c r="AT2" s="11"/>
      <c r="AU2" s="11"/>
      <c r="AW2" s="14"/>
      <c r="AX2" s="14"/>
      <c r="AY2" s="16"/>
      <c r="AZ2" s="12"/>
      <c r="BA2" s="12"/>
      <c r="BJ2" s="15"/>
      <c r="BK2" s="14"/>
      <c r="BL2" s="14"/>
      <c r="BN2" s="15"/>
      <c r="BO2" s="14"/>
      <c r="BP2" s="14"/>
    </row>
    <row r="3" spans="1:68" s="5" customFormat="1" ht="18.75" customHeight="1" thickTop="1" x14ac:dyDescent="0.2">
      <c r="A3" s="202" t="s">
        <v>21</v>
      </c>
      <c r="B3" s="217" t="s">
        <v>9</v>
      </c>
      <c r="C3" s="218" t="s">
        <v>10</v>
      </c>
      <c r="D3" s="220" t="s">
        <v>11</v>
      </c>
      <c r="E3" s="223" t="s">
        <v>132</v>
      </c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03" t="s">
        <v>12</v>
      </c>
      <c r="Z3" s="203" t="s">
        <v>13</v>
      </c>
      <c r="AA3" s="208" t="s">
        <v>28</v>
      </c>
      <c r="AB3" s="223" t="s">
        <v>133</v>
      </c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03" t="s">
        <v>12</v>
      </c>
      <c r="AW3" s="203" t="s">
        <v>13</v>
      </c>
      <c r="AX3" s="208" t="s">
        <v>28</v>
      </c>
      <c r="AY3" s="196" t="s">
        <v>61</v>
      </c>
      <c r="AZ3" s="197"/>
      <c r="BA3" s="198"/>
      <c r="BB3" s="202" t="s">
        <v>62</v>
      </c>
      <c r="BC3" s="203"/>
      <c r="BD3" s="203"/>
      <c r="BE3" s="203"/>
      <c r="BF3" s="203"/>
      <c r="BG3" s="203"/>
      <c r="BH3" s="203"/>
      <c r="BI3" s="213"/>
      <c r="BJ3" s="202" t="s">
        <v>12</v>
      </c>
      <c r="BK3" s="203" t="s">
        <v>13</v>
      </c>
      <c r="BL3" s="208" t="s">
        <v>28</v>
      </c>
      <c r="BN3" s="202" t="s">
        <v>75</v>
      </c>
      <c r="BO3" s="203"/>
      <c r="BP3" s="204"/>
    </row>
    <row r="4" spans="1:68" s="10" customFormat="1" ht="29.25" customHeight="1" x14ac:dyDescent="0.2">
      <c r="A4" s="222"/>
      <c r="B4" s="211"/>
      <c r="C4" s="219"/>
      <c r="D4" s="221"/>
      <c r="E4" s="230" t="s">
        <v>57</v>
      </c>
      <c r="F4" s="229"/>
      <c r="G4" s="229" t="s">
        <v>58</v>
      </c>
      <c r="H4" s="229"/>
      <c r="I4" s="229" t="s">
        <v>82</v>
      </c>
      <c r="J4" s="229"/>
      <c r="K4" s="227" t="s">
        <v>76</v>
      </c>
      <c r="L4" s="228"/>
      <c r="M4" s="226" t="s">
        <v>77</v>
      </c>
      <c r="N4" s="226"/>
      <c r="O4" s="225" t="s">
        <v>134</v>
      </c>
      <c r="P4" s="225"/>
      <c r="Q4" s="229" t="s">
        <v>26</v>
      </c>
      <c r="R4" s="229"/>
      <c r="S4" s="211" t="s">
        <v>81</v>
      </c>
      <c r="T4" s="211"/>
      <c r="U4" s="225" t="s">
        <v>135</v>
      </c>
      <c r="V4" s="225"/>
      <c r="W4" s="226" t="s">
        <v>79</v>
      </c>
      <c r="X4" s="226"/>
      <c r="Y4" s="206"/>
      <c r="Z4" s="206"/>
      <c r="AA4" s="209"/>
      <c r="AB4" s="230" t="s">
        <v>57</v>
      </c>
      <c r="AC4" s="229"/>
      <c r="AD4" s="229" t="s">
        <v>58</v>
      </c>
      <c r="AE4" s="229"/>
      <c r="AF4" s="229" t="s">
        <v>82</v>
      </c>
      <c r="AG4" s="229"/>
      <c r="AH4" s="227" t="s">
        <v>76</v>
      </c>
      <c r="AI4" s="228"/>
      <c r="AJ4" s="226" t="s">
        <v>77</v>
      </c>
      <c r="AK4" s="226"/>
      <c r="AL4" s="225" t="s">
        <v>78</v>
      </c>
      <c r="AM4" s="225"/>
      <c r="AN4" s="229" t="s">
        <v>26</v>
      </c>
      <c r="AO4" s="229"/>
      <c r="AP4" s="211" t="s">
        <v>81</v>
      </c>
      <c r="AQ4" s="211"/>
      <c r="AR4" s="225" t="s">
        <v>80</v>
      </c>
      <c r="AS4" s="225"/>
      <c r="AT4" s="226" t="s">
        <v>79</v>
      </c>
      <c r="AU4" s="226"/>
      <c r="AV4" s="206"/>
      <c r="AW4" s="206"/>
      <c r="AX4" s="209"/>
      <c r="AY4" s="199"/>
      <c r="AZ4" s="200"/>
      <c r="BA4" s="201"/>
      <c r="BB4" s="210" t="s">
        <v>63</v>
      </c>
      <c r="BC4" s="211"/>
      <c r="BD4" s="211" t="s">
        <v>64</v>
      </c>
      <c r="BE4" s="211"/>
      <c r="BF4" s="211" t="s">
        <v>65</v>
      </c>
      <c r="BG4" s="211"/>
      <c r="BH4" s="211" t="s">
        <v>66</v>
      </c>
      <c r="BI4" s="212"/>
      <c r="BJ4" s="205"/>
      <c r="BK4" s="206"/>
      <c r="BL4" s="209"/>
      <c r="BN4" s="205"/>
      <c r="BO4" s="206"/>
      <c r="BP4" s="207"/>
    </row>
    <row r="5" spans="1:68" s="10" customFormat="1" ht="38.25" x14ac:dyDescent="0.2">
      <c r="A5" s="222"/>
      <c r="B5" s="211"/>
      <c r="C5" s="219"/>
      <c r="D5" s="221"/>
      <c r="E5" s="42" t="s">
        <v>22</v>
      </c>
      <c r="F5" s="32" t="s">
        <v>14</v>
      </c>
      <c r="G5" s="32" t="s">
        <v>22</v>
      </c>
      <c r="H5" s="32" t="s">
        <v>14</v>
      </c>
      <c r="I5" s="32" t="s">
        <v>22</v>
      </c>
      <c r="J5" s="32" t="s">
        <v>14</v>
      </c>
      <c r="K5" s="32" t="s">
        <v>22</v>
      </c>
      <c r="L5" s="32" t="s">
        <v>14</v>
      </c>
      <c r="M5" s="32" t="s">
        <v>22</v>
      </c>
      <c r="N5" s="32" t="s">
        <v>14</v>
      </c>
      <c r="O5" s="32" t="s">
        <v>22</v>
      </c>
      <c r="P5" s="32" t="s">
        <v>14</v>
      </c>
      <c r="Q5" s="32" t="s">
        <v>22</v>
      </c>
      <c r="R5" s="32" t="s">
        <v>14</v>
      </c>
      <c r="S5" s="32" t="s">
        <v>22</v>
      </c>
      <c r="T5" s="32" t="s">
        <v>14</v>
      </c>
      <c r="U5" s="32" t="s">
        <v>22</v>
      </c>
      <c r="V5" s="32" t="s">
        <v>14</v>
      </c>
      <c r="W5" s="32" t="s">
        <v>22</v>
      </c>
      <c r="X5" s="32" t="s">
        <v>14</v>
      </c>
      <c r="Y5" s="206"/>
      <c r="Z5" s="206"/>
      <c r="AA5" s="209"/>
      <c r="AB5" s="42" t="s">
        <v>22</v>
      </c>
      <c r="AC5" s="32" t="s">
        <v>14</v>
      </c>
      <c r="AD5" s="32" t="s">
        <v>22</v>
      </c>
      <c r="AE5" s="32" t="s">
        <v>14</v>
      </c>
      <c r="AF5" s="32" t="s">
        <v>22</v>
      </c>
      <c r="AG5" s="32" t="s">
        <v>14</v>
      </c>
      <c r="AH5" s="32" t="s">
        <v>22</v>
      </c>
      <c r="AI5" s="32" t="s">
        <v>14</v>
      </c>
      <c r="AJ5" s="32" t="s">
        <v>22</v>
      </c>
      <c r="AK5" s="32" t="s">
        <v>14</v>
      </c>
      <c r="AL5" s="32" t="s">
        <v>22</v>
      </c>
      <c r="AM5" s="32" t="s">
        <v>14</v>
      </c>
      <c r="AN5" s="32" t="s">
        <v>22</v>
      </c>
      <c r="AO5" s="32" t="s">
        <v>14</v>
      </c>
      <c r="AP5" s="32" t="s">
        <v>22</v>
      </c>
      <c r="AQ5" s="32" t="s">
        <v>14</v>
      </c>
      <c r="AR5" s="32" t="s">
        <v>22</v>
      </c>
      <c r="AS5" s="32" t="s">
        <v>14</v>
      </c>
      <c r="AT5" s="32" t="s">
        <v>22</v>
      </c>
      <c r="AU5" s="32" t="s">
        <v>14</v>
      </c>
      <c r="AV5" s="206"/>
      <c r="AW5" s="206"/>
      <c r="AX5" s="209"/>
      <c r="AY5" s="42" t="s">
        <v>22</v>
      </c>
      <c r="AZ5" s="32" t="s">
        <v>14</v>
      </c>
      <c r="BA5" s="33" t="s">
        <v>38</v>
      </c>
      <c r="BB5" s="42" t="s">
        <v>22</v>
      </c>
      <c r="BC5" s="32" t="s">
        <v>14</v>
      </c>
      <c r="BD5" s="32" t="s">
        <v>22</v>
      </c>
      <c r="BE5" s="32" t="s">
        <v>14</v>
      </c>
      <c r="BF5" s="32" t="s">
        <v>22</v>
      </c>
      <c r="BG5" s="32" t="s">
        <v>14</v>
      </c>
      <c r="BH5" s="32" t="s">
        <v>22</v>
      </c>
      <c r="BI5" s="51" t="s">
        <v>14</v>
      </c>
      <c r="BJ5" s="205"/>
      <c r="BK5" s="206"/>
      <c r="BL5" s="209"/>
      <c r="BN5" s="63" t="s">
        <v>12</v>
      </c>
      <c r="BO5" s="64" t="s">
        <v>13</v>
      </c>
      <c r="BP5" s="36" t="s">
        <v>28</v>
      </c>
    </row>
    <row r="6" spans="1:68" s="9" customFormat="1" ht="21" customHeight="1" x14ac:dyDescent="0.25">
      <c r="A6" s="46" t="s">
        <v>23</v>
      </c>
      <c r="B6" s="47" t="s">
        <v>51</v>
      </c>
      <c r="C6" s="48" t="s">
        <v>15</v>
      </c>
      <c r="D6" s="49" t="s">
        <v>16</v>
      </c>
      <c r="E6" s="44">
        <f>_xlfn.XLOOKUP(B6,'Format-Blr'!$B$7:$B$44,'Format-Blr'!I$7:I$44)</f>
        <v>0</v>
      </c>
      <c r="F6" s="45">
        <f>_xlfn.XLOOKUP(B6,'Format-Blr'!$B$7:$B$44,'Format-Blr'!J$7:J$44)</f>
        <v>0</v>
      </c>
      <c r="G6" s="45">
        <f>_xlfn.XLOOKUP(B6,'Format-Blr'!$B$7:$B$44,'Format-Blr'!P$7:P$44)</f>
        <v>0</v>
      </c>
      <c r="H6" s="45">
        <f>_xlfn.XLOOKUP(B6,'Format-Blr'!$B$7:$B$44,'Format-Blr'!Q$7:Q$44)</f>
        <v>0</v>
      </c>
      <c r="I6" s="45">
        <f>_xlfn.XLOOKUP(B6,'Format-Blr'!$B$7:$B$44,'Format-Blr'!W$7:W$44)</f>
        <v>0</v>
      </c>
      <c r="J6" s="45">
        <f>_xlfn.XLOOKUP(B6,'Format-Blr'!$B$7:$B$44,'Format-Blr'!X$7:X$44)</f>
        <v>0</v>
      </c>
      <c r="K6" s="45">
        <f>_xlfn.XLOOKUP(B6,'Format-Blr'!$B$7:$B$44,'Format-Blr'!AD$7:AD$44)</f>
        <v>0</v>
      </c>
      <c r="L6" s="45">
        <f>_xlfn.XLOOKUP(B6,'Format-Blr'!$B$7:$B$44,'Format-Blr'!AE$7:AE$44)</f>
        <v>0</v>
      </c>
      <c r="M6" s="45">
        <f>_xlfn.XLOOKUP(B6,'Format-Blr'!$B$7:$B$44,'Format-Blr'!AK$7:AK$44)</f>
        <v>67</v>
      </c>
      <c r="N6" s="45">
        <f>_xlfn.XLOOKUP(B6,'Format-Blr'!$B$7:$B$44,'Format-Blr'!AL$7:AL$44)</f>
        <v>60</v>
      </c>
      <c r="O6" s="45">
        <f>_xlfn.XLOOKUP(B6,'Format-Blr'!$B$7:$B$44,'Format-Blr'!AR$7:AR$44)</f>
        <v>57</v>
      </c>
      <c r="P6" s="45">
        <f>_xlfn.XLOOKUP(B6,'Format-Blr'!$B$7:$B$44,'Format-Blr'!AS$7:AS$44)</f>
        <v>48</v>
      </c>
      <c r="Q6" s="45">
        <f>_xlfn.XLOOKUP(B6,'Format-Blr'!$B$7:$B$44,'Format-Blr'!AY$7:AY$44)</f>
        <v>0</v>
      </c>
      <c r="R6" s="45">
        <f>_xlfn.XLOOKUP(B6,'Format-Blr'!$B$7:$B$44,'Format-Blr'!AZ$7:AZ$44)</f>
        <v>0</v>
      </c>
      <c r="S6" s="45">
        <f>_xlfn.XLOOKUP(B6,'Format-Blr'!$B$7:$B$44,'Format-Blr'!BF$7:BF$44)</f>
        <v>0</v>
      </c>
      <c r="T6" s="45">
        <f>_xlfn.XLOOKUP(B6,'Format-Blr'!$B$7:$B$44,'Format-Blr'!BG$7:BG$44)</f>
        <v>0</v>
      </c>
      <c r="U6" s="45">
        <f>_xlfn.XLOOKUP(B6,'Format-Blr'!$B$7:$B$44,'Format-Blr'!BM$7:BM$44)</f>
        <v>0</v>
      </c>
      <c r="V6" s="45">
        <f>_xlfn.XLOOKUP(B6,'Format-Blr'!$B$7:$B$44,'Format-Blr'!BN$7:BN$44)</f>
        <v>0</v>
      </c>
      <c r="W6" s="45">
        <f>_xlfn.XLOOKUP(B6,'Format-Blr'!$B$7:$B$44,'Format-Blr'!BT$7:BT$44)</f>
        <v>48</v>
      </c>
      <c r="X6" s="45">
        <f>_xlfn.XLOOKUP(B6,'Format-Blr'!$B$7:$B$44,'Format-Blr'!BU$7:BU$44)</f>
        <v>42</v>
      </c>
      <c r="Y6" s="34">
        <f>SUM(E6,G6,I6,K6,M6,O6,Q6,S6,U6,W6)</f>
        <v>172</v>
      </c>
      <c r="Z6" s="34">
        <f>SUM(F6,H6,J6,L6,N6,P6,R6,T6,V6,X6)</f>
        <v>150</v>
      </c>
      <c r="AA6" s="38">
        <f>Z6/Y6*100</f>
        <v>87.20930232558139</v>
      </c>
      <c r="AB6" s="44">
        <f>_xlfn.XLOOKUP(B6,'Format-Blr'!$B$51:$B$88,'Format-Blr'!I$51:I$88)</f>
        <v>0</v>
      </c>
      <c r="AC6" s="45">
        <f>_xlfn.XLOOKUP(B6,'Format-Blr'!$B$51:$B$88,'Format-Blr'!J$51:J$88)</f>
        <v>0</v>
      </c>
      <c r="AD6" s="45">
        <f>_xlfn.XLOOKUP(B6,'Format-Blr'!$B$51:$B$88,'Format-Blr'!P$51:P$88)</f>
        <v>0</v>
      </c>
      <c r="AE6" s="45">
        <f>_xlfn.XLOOKUP(B6,'Format-Blr'!$B$51:$B$88,'Format-Blr'!Q$51:Q$88)</f>
        <v>0</v>
      </c>
      <c r="AF6" s="45">
        <f>_xlfn.XLOOKUP(B6,'Format-Blr'!$B$51:$B$88,'Format-Blr'!W$51:W$88)</f>
        <v>3</v>
      </c>
      <c r="AG6" s="45">
        <f>_xlfn.XLOOKUP(B6,'Format-Blr'!$B$51:$B$88,'Format-Blr'!X$51:X$88)</f>
        <v>1</v>
      </c>
      <c r="AH6" s="45">
        <f>_xlfn.XLOOKUP(B6,'Format-Blr'!$B$51:$B$88,'Format-Blr'!AD$51:AD$88)</f>
        <v>0</v>
      </c>
      <c r="AI6" s="45">
        <f>_xlfn.XLOOKUP(B6,'Format-Blr'!$B$51:$B$88,'Format-Blr'!AE$51:AE$88)</f>
        <v>0</v>
      </c>
      <c r="AJ6" s="45">
        <f>_xlfn.XLOOKUP(B6,'Format-Blr'!$B$51:$B$88,'Format-Blr'!AK$51:AK$88)</f>
        <v>39</v>
      </c>
      <c r="AK6" s="45">
        <f>_xlfn.XLOOKUP(B6,'Format-Blr'!$B$51:$B$88,'Format-Blr'!AL$51:AL$88)</f>
        <v>11</v>
      </c>
      <c r="AL6" s="45">
        <f>_xlfn.XLOOKUP(B6,'Format-Blr'!$B$51:$B$88,'Format-Blr'!AR$51:AR$88)</f>
        <v>28</v>
      </c>
      <c r="AM6" s="45">
        <f>_xlfn.XLOOKUP(B6,'Format-Blr'!$B$51:$B$88,'Format-Blr'!AS$51:AS$88)</f>
        <v>10</v>
      </c>
      <c r="AN6" s="45">
        <f>_xlfn.XLOOKUP(B6,'Format-Blr'!$B$51:$B$88,'Format-Blr'!AY$51:AY$88)</f>
        <v>0</v>
      </c>
      <c r="AO6" s="45">
        <f>_xlfn.XLOOKUP(B6,'Format-Blr'!$B$51:$B$88,'Format-Blr'!AZ$51:AZ$88)</f>
        <v>0</v>
      </c>
      <c r="AP6" s="45">
        <f>_xlfn.XLOOKUP(B6,'Format-Blr'!$B$51:$B$88,'Format-Blr'!BF$51:BF$88)</f>
        <v>5</v>
      </c>
      <c r="AQ6" s="45">
        <f>_xlfn.XLOOKUP(B6,'Format-Blr'!$B$51:$B$88,'Format-Blr'!BG$51:BG$88)</f>
        <v>1</v>
      </c>
      <c r="AR6" s="45">
        <f>_xlfn.XLOOKUP(B6,'Format-Blr'!$B$51:$B$88,'Format-Blr'!BM$51:BM$88)</f>
        <v>0</v>
      </c>
      <c r="AS6" s="45">
        <f>_xlfn.XLOOKUP(B6,'Format-Blr'!$B$51:$B$88,'Format-Blr'!BN$51:BN$88)</f>
        <v>0</v>
      </c>
      <c r="AT6" s="45">
        <f>_xlfn.XLOOKUP(B6,'Format-Blr'!$B$51:$B$88,'Format-Blr'!BT$51:BT$88)</f>
        <v>40</v>
      </c>
      <c r="AU6" s="45">
        <f>_xlfn.XLOOKUP(B6,'Format-Blr'!$B$51:$B$88,'Format-Blr'!BU$51:BU$88)</f>
        <v>6</v>
      </c>
      <c r="AV6" s="34">
        <f>SUM(AB6,AD6,AF6,AH6,AJ6,AL6,AN6,AP6,AR6,AT6)</f>
        <v>115</v>
      </c>
      <c r="AW6" s="34">
        <f>SUM(AC6,AE6,AG6,AI6,AK6,AM6,AO6,AQ6,AS6,AU6)</f>
        <v>29</v>
      </c>
      <c r="AX6" s="38">
        <f>AW6/AV6*100</f>
        <v>25.217391304347824</v>
      </c>
      <c r="AY6" s="37">
        <f>_xlfn.XLOOKUP(B6,'Format-Blr'!B$51:B$88,'Format-Blr'!CF$51:CF$88)</f>
        <v>0</v>
      </c>
      <c r="AZ6" s="34">
        <f>_xlfn.XLOOKUP(B6,'Format-Blr'!B$51:B$88,'Format-Blr'!CG$51:CG$88)</f>
        <v>0</v>
      </c>
      <c r="BA6" s="35" t="e">
        <f t="shared" ref="BA6" si="0">AZ6/AY6*100</f>
        <v>#DIV/0!</v>
      </c>
      <c r="BB6" s="37">
        <f>_xlfn.XLOOKUP(B6,'Format-Blr'!$B$7:$B$44,'Format-Blr'!CF$7:CF$44)</f>
        <v>0</v>
      </c>
      <c r="BC6" s="34">
        <f>_xlfn.XLOOKUP(B6,'Format-Blr'!$B$7:$B$44,'Format-Blr'!CG$7:CG$44)</f>
        <v>0</v>
      </c>
      <c r="BD6" s="34">
        <f>_xlfn.XLOOKUP(B6,'Format-Blr'!$B$7:$B$44,'Format-Blr'!CI$7:CI$44)</f>
        <v>0</v>
      </c>
      <c r="BE6" s="34">
        <f>_xlfn.XLOOKUP(B6,'Format-Blr'!$B$7:$B$44,'Format-Blr'!CJ$7:CJ$44)</f>
        <v>0</v>
      </c>
      <c r="BF6" s="34">
        <f>_xlfn.XLOOKUP(B6,'Format-Blr'!$B$7:$B$44,'Format-Blr'!CL$7:CL$44)</f>
        <v>0</v>
      </c>
      <c r="BG6" s="34">
        <f>_xlfn.XLOOKUP(B6,'Format-Blr'!$B$7:$B$44,'Format-Blr'!CM$7:CM$44)</f>
        <v>0</v>
      </c>
      <c r="BH6" s="34">
        <f>_xlfn.XLOOKUP(B6,'Format-Blr'!$B$7:$B$44,'Format-Blr'!CO$7:CO$44)</f>
        <v>0</v>
      </c>
      <c r="BI6" s="52">
        <f>_xlfn.XLOOKUP(B6,'Format-Blr'!$B$7:$B$44,'Format-Blr'!CP$7:CP$44)</f>
        <v>0</v>
      </c>
      <c r="BJ6" s="37">
        <f>SUM(BB6,BD6,BF6,BH6)</f>
        <v>0</v>
      </c>
      <c r="BK6" s="34">
        <f>SUM(BC6,BE6,BG6,BI6)</f>
        <v>0</v>
      </c>
      <c r="BL6" s="38" t="e">
        <f>BK6/BJ6*100</f>
        <v>#DIV/0!</v>
      </c>
      <c r="BN6" s="37">
        <f>SUM(Y6,AV6,AY6,BJ6)</f>
        <v>287</v>
      </c>
      <c r="BO6" s="34">
        <f>SUM(Z6,AW6,AZ6,BK6)</f>
        <v>179</v>
      </c>
      <c r="BP6" s="38">
        <f>BO6/BN6*100</f>
        <v>62.369337979094077</v>
      </c>
    </row>
    <row r="7" spans="1:68" s="9" customFormat="1" ht="21" customHeight="1" x14ac:dyDescent="0.25">
      <c r="A7" s="46" t="s">
        <v>23</v>
      </c>
      <c r="B7" s="54" t="s">
        <v>41</v>
      </c>
      <c r="C7" s="48" t="s">
        <v>15</v>
      </c>
      <c r="D7" s="49" t="s">
        <v>16</v>
      </c>
      <c r="E7" s="44">
        <f>_xlfn.XLOOKUP(B7,'Format-Blr'!$B$7:$B$44,'Format-Blr'!I$7:I$44)</f>
        <v>4</v>
      </c>
      <c r="F7" s="45">
        <f>_xlfn.XLOOKUP(B7,'Format-Blr'!$B$7:$B$44,'Format-Blr'!J$7:J$44)</f>
        <v>4</v>
      </c>
      <c r="G7" s="45">
        <f>_xlfn.XLOOKUP(B7,'Format-Blr'!$B$7:$B$44,'Format-Blr'!P$7:P$44)</f>
        <v>38</v>
      </c>
      <c r="H7" s="45">
        <f>_xlfn.XLOOKUP(B7,'Format-Blr'!$B$7:$B$44,'Format-Blr'!Q$7:Q$44)</f>
        <v>36</v>
      </c>
      <c r="I7" s="45">
        <f>_xlfn.XLOOKUP(B7,'Format-Blr'!$B$7:$B$44,'Format-Blr'!W$7:W$44)</f>
        <v>115</v>
      </c>
      <c r="J7" s="45">
        <f>_xlfn.XLOOKUP(B7,'Format-Blr'!$B$7:$B$44,'Format-Blr'!X$7:X$44)</f>
        <v>95</v>
      </c>
      <c r="K7" s="45">
        <f>_xlfn.XLOOKUP(B7,'Format-Blr'!$B$7:$B$44,'Format-Blr'!AD$7:AD$44)</f>
        <v>0</v>
      </c>
      <c r="L7" s="45">
        <f>_xlfn.XLOOKUP(B7,'Format-Blr'!$B$7:$B$44,'Format-Blr'!AE$7:AE$44)</f>
        <v>0</v>
      </c>
      <c r="M7" s="45">
        <f>_xlfn.XLOOKUP(B7,'Format-Blr'!$B$7:$B$44,'Format-Blr'!AK$7:AK$44)</f>
        <v>52</v>
      </c>
      <c r="N7" s="45">
        <f>_xlfn.XLOOKUP(B7,'Format-Blr'!$B$7:$B$44,'Format-Blr'!AL$7:AL$44)</f>
        <v>45</v>
      </c>
      <c r="O7" s="45">
        <f>_xlfn.XLOOKUP(B7,'Format-Blr'!$B$7:$B$44,'Format-Blr'!AR$7:AR$44)</f>
        <v>92</v>
      </c>
      <c r="P7" s="45">
        <f>_xlfn.XLOOKUP(B7,'Format-Blr'!$B$7:$B$44,'Format-Blr'!AS$7:AS$44)</f>
        <v>84</v>
      </c>
      <c r="Q7" s="45">
        <f>_xlfn.XLOOKUP(B7,'Format-Blr'!$B$7:$B$44,'Format-Blr'!AY$7:AY$44)</f>
        <v>52</v>
      </c>
      <c r="R7" s="45">
        <f>_xlfn.XLOOKUP(B7,'Format-Blr'!$B$7:$B$44,'Format-Blr'!AZ$7:AZ$44)</f>
        <v>45</v>
      </c>
      <c r="S7" s="45">
        <f>_xlfn.XLOOKUP(B7,'Format-Blr'!$B$7:$B$44,'Format-Blr'!BF$7:BF$44)</f>
        <v>0</v>
      </c>
      <c r="T7" s="45">
        <f>_xlfn.XLOOKUP(B7,'Format-Blr'!$B$7:$B$44,'Format-Blr'!BG$7:BG$44)</f>
        <v>0</v>
      </c>
      <c r="U7" s="45">
        <f>_xlfn.XLOOKUP(B7,'Format-Blr'!$B$7:$B$44,'Format-Blr'!BM$7:BM$44)</f>
        <v>0</v>
      </c>
      <c r="V7" s="45">
        <f>_xlfn.XLOOKUP(B7,'Format-Blr'!$B$7:$B$44,'Format-Blr'!BN$7:BN$44)</f>
        <v>0</v>
      </c>
      <c r="W7" s="45">
        <f>_xlfn.XLOOKUP(B7,'Format-Blr'!$B$7:$B$44,'Format-Blr'!BT$7:BT$44)</f>
        <v>48</v>
      </c>
      <c r="X7" s="45">
        <f>_xlfn.XLOOKUP(B7,'Format-Blr'!$B$7:$B$44,'Format-Blr'!BU$7:BU$44)</f>
        <v>42</v>
      </c>
      <c r="Y7" s="34">
        <f t="shared" ref="Y7:Y43" si="1">SUM(E7,G7,I7,K7,M7,O7,Q7,S7,U7,W7)</f>
        <v>401</v>
      </c>
      <c r="Z7" s="34">
        <f t="shared" ref="Z7:Z43" si="2">SUM(F7,H7,J7,L7,N7,P7,R7,T7,V7,X7)</f>
        <v>351</v>
      </c>
      <c r="AA7" s="38">
        <f t="shared" ref="AA7:AA43" si="3">Z7/Y7*100</f>
        <v>87.531172069825431</v>
      </c>
      <c r="AB7" s="44">
        <f>_xlfn.XLOOKUP(B7,'Format-Blr'!$B$51:$B$88,'Format-Blr'!I$51:I$88)</f>
        <v>0</v>
      </c>
      <c r="AC7" s="45">
        <f>_xlfn.XLOOKUP(B7,'Format-Blr'!$B$51:$B$88,'Format-Blr'!J$51:J$88)</f>
        <v>0</v>
      </c>
      <c r="AD7" s="45">
        <f>_xlfn.XLOOKUP(B7,'Format-Blr'!$B$51:$B$88,'Format-Blr'!P$51:P$88)</f>
        <v>36</v>
      </c>
      <c r="AE7" s="45">
        <f>_xlfn.XLOOKUP(B7,'Format-Blr'!$B$51:$B$88,'Format-Blr'!Q$51:Q$88)</f>
        <v>4</v>
      </c>
      <c r="AF7" s="45">
        <f>_xlfn.XLOOKUP(B7,'Format-Blr'!$B$51:$B$88,'Format-Blr'!W$51:W$88)</f>
        <v>106</v>
      </c>
      <c r="AG7" s="45">
        <f>_xlfn.XLOOKUP(B7,'Format-Blr'!$B$51:$B$88,'Format-Blr'!X$51:X$88)</f>
        <v>13</v>
      </c>
      <c r="AH7" s="45">
        <f>_xlfn.XLOOKUP(B7,'Format-Blr'!$B$51:$B$88,'Format-Blr'!AD$51:AD$88)</f>
        <v>0</v>
      </c>
      <c r="AI7" s="45">
        <f>_xlfn.XLOOKUP(B7,'Format-Blr'!$B$51:$B$88,'Format-Blr'!AE$51:AE$88)</f>
        <v>0</v>
      </c>
      <c r="AJ7" s="45">
        <f>_xlfn.XLOOKUP(B7,'Format-Blr'!$B$51:$B$88,'Format-Blr'!AK$51:AK$88)</f>
        <v>56</v>
      </c>
      <c r="AK7" s="45">
        <f>_xlfn.XLOOKUP(B7,'Format-Blr'!$B$51:$B$88,'Format-Blr'!AL$51:AL$88)</f>
        <v>10</v>
      </c>
      <c r="AL7" s="45">
        <f>_xlfn.XLOOKUP(B7,'Format-Blr'!$B$51:$B$88,'Format-Blr'!AR$51:AR$88)</f>
        <v>99</v>
      </c>
      <c r="AM7" s="45">
        <f>_xlfn.XLOOKUP(B7,'Format-Blr'!$B$51:$B$88,'Format-Blr'!AS$51:AS$88)</f>
        <v>4</v>
      </c>
      <c r="AN7" s="45">
        <f>_xlfn.XLOOKUP(B7,'Format-Blr'!$B$51:$B$88,'Format-Blr'!AY$51:AY$88)</f>
        <v>51</v>
      </c>
      <c r="AO7" s="45">
        <f>_xlfn.XLOOKUP(B7,'Format-Blr'!$B$51:$B$88,'Format-Blr'!AZ$51:AZ$88)</f>
        <v>30</v>
      </c>
      <c r="AP7" s="45">
        <f>_xlfn.XLOOKUP(B7,'Format-Blr'!$B$51:$B$88,'Format-Blr'!BF$51:BF$88)</f>
        <v>0</v>
      </c>
      <c r="AQ7" s="45">
        <f>_xlfn.XLOOKUP(B7,'Format-Blr'!$B$51:$B$88,'Format-Blr'!BG$51:BG$88)</f>
        <v>0</v>
      </c>
      <c r="AR7" s="45">
        <f>_xlfn.XLOOKUP(B7,'Format-Blr'!$B$51:$B$88,'Format-Blr'!BM$51:BM$88)</f>
        <v>0</v>
      </c>
      <c r="AS7" s="45">
        <f>_xlfn.XLOOKUP(B7,'Format-Blr'!$B$51:$B$88,'Format-Blr'!BN$51:BN$88)</f>
        <v>0</v>
      </c>
      <c r="AT7" s="45">
        <f>_xlfn.XLOOKUP(B7,'Format-Blr'!$B$51:$B$88,'Format-Blr'!BT$51:BT$88)</f>
        <v>37</v>
      </c>
      <c r="AU7" s="45">
        <f>_xlfn.XLOOKUP(B7,'Format-Blr'!$B$51:$B$88,'Format-Blr'!BU$51:BU$88)</f>
        <v>0</v>
      </c>
      <c r="AV7" s="34">
        <f t="shared" ref="AV7:AV43" si="4">SUM(AB7,AD7,AF7,AH7,AJ7,AL7,AN7,AP7,AR7,AT7)</f>
        <v>385</v>
      </c>
      <c r="AW7" s="34">
        <f t="shared" ref="AW7:AW43" si="5">SUM(AC7,AE7,AG7,AI7,AK7,AM7,AO7,AQ7,AS7,AU7)</f>
        <v>61</v>
      </c>
      <c r="AX7" s="38">
        <f t="shared" ref="AX7:AX43" si="6">AW7/AV7*100</f>
        <v>15.844155844155845</v>
      </c>
      <c r="AY7" s="37">
        <f>_xlfn.XLOOKUP(B7,'Format-Blr'!B$51:B$88,'Format-Blr'!CF$51:CF$88)</f>
        <v>0</v>
      </c>
      <c r="AZ7" s="34">
        <f>_xlfn.XLOOKUP(B7,'Format-Blr'!B$51:B$88,'Format-Blr'!CG$51:CG$88)</f>
        <v>0</v>
      </c>
      <c r="BA7" s="35" t="e">
        <f t="shared" ref="BA7:BA43" si="7">AZ7/AY7*100</f>
        <v>#DIV/0!</v>
      </c>
      <c r="BB7" s="37">
        <f>_xlfn.XLOOKUP(B7,'Format-Blr'!$B$7:$B$44,'Format-Blr'!CF$7:CF$44)</f>
        <v>26</v>
      </c>
      <c r="BC7" s="34">
        <f>_xlfn.XLOOKUP(B7,'Format-Blr'!$B$7:$B$44,'Format-Blr'!CG$7:CG$44)</f>
        <v>0</v>
      </c>
      <c r="BD7" s="34">
        <f>_xlfn.XLOOKUP(B7,'Format-Blr'!$B$7:$B$44,'Format-Blr'!CI$7:CI$44)</f>
        <v>48</v>
      </c>
      <c r="BE7" s="34">
        <f>_xlfn.XLOOKUP(B7,'Format-Blr'!$B$7:$B$44,'Format-Blr'!CJ$7:CJ$44)</f>
        <v>0</v>
      </c>
      <c r="BF7" s="34">
        <f>_xlfn.XLOOKUP(B7,'Format-Blr'!$B$7:$B$44,'Format-Blr'!CL$7:CL$44)</f>
        <v>36</v>
      </c>
      <c r="BG7" s="34">
        <f>_xlfn.XLOOKUP(B7,'Format-Blr'!$B$7:$B$44,'Format-Blr'!CM$7:CM$44)</f>
        <v>0</v>
      </c>
      <c r="BH7" s="34">
        <f>_xlfn.XLOOKUP(B7,'Format-Blr'!$B$7:$B$44,'Format-Blr'!CO$7:CO$44)</f>
        <v>0</v>
      </c>
      <c r="BI7" s="52">
        <f>_xlfn.XLOOKUP(B7,'Format-Blr'!$B$7:$B$44,'Format-Blr'!CP$7:CP$44)</f>
        <v>0</v>
      </c>
      <c r="BJ7" s="37">
        <f>SUM(BB7,BD7,BF7,BH7)</f>
        <v>110</v>
      </c>
      <c r="BK7" s="34">
        <f t="shared" ref="BK7:BK43" si="8">SUM(BC7,BE7,BG7,BI7)</f>
        <v>0</v>
      </c>
      <c r="BL7" s="38">
        <f t="shared" ref="BL7:BL43" si="9">BK7/BJ7*100</f>
        <v>0</v>
      </c>
      <c r="BN7" s="37">
        <f t="shared" ref="BN7:BN43" si="10">SUM(Y7,AV7,AY7,BJ7)</f>
        <v>896</v>
      </c>
      <c r="BO7" s="34">
        <f t="shared" ref="BO7:BO43" si="11">SUM(Z7,AW7,AZ7,BK7)</f>
        <v>412</v>
      </c>
      <c r="BP7" s="38">
        <f t="shared" ref="BP7:BP43" si="12">BO7/BN7*100</f>
        <v>45.982142857142854</v>
      </c>
    </row>
    <row r="8" spans="1:68" s="9" customFormat="1" ht="21" customHeight="1" x14ac:dyDescent="0.25">
      <c r="A8" s="46" t="s">
        <v>23</v>
      </c>
      <c r="B8" s="55" t="s">
        <v>46</v>
      </c>
      <c r="C8" s="48" t="s">
        <v>15</v>
      </c>
      <c r="D8" s="49" t="s">
        <v>16</v>
      </c>
      <c r="E8" s="44">
        <f>_xlfn.XLOOKUP(B8,'Format-Blr'!$B$7:$B$44,'Format-Blr'!I$7:I$44)</f>
        <v>0</v>
      </c>
      <c r="F8" s="45">
        <f>_xlfn.XLOOKUP(B8,'Format-Blr'!$B$7:$B$44,'Format-Blr'!J$7:J$44)</f>
        <v>0</v>
      </c>
      <c r="G8" s="45">
        <f>_xlfn.XLOOKUP(B8,'Format-Blr'!$B$7:$B$44,'Format-Blr'!P$7:P$44)</f>
        <v>0</v>
      </c>
      <c r="H8" s="45">
        <f>_xlfn.XLOOKUP(B8,'Format-Blr'!$B$7:$B$44,'Format-Blr'!Q$7:Q$44)</f>
        <v>0</v>
      </c>
      <c r="I8" s="45">
        <f>_xlfn.XLOOKUP(B8,'Format-Blr'!$B$7:$B$44,'Format-Blr'!W$7:W$44)</f>
        <v>50</v>
      </c>
      <c r="J8" s="45">
        <f>_xlfn.XLOOKUP(B8,'Format-Blr'!$B$7:$B$44,'Format-Blr'!X$7:X$44)</f>
        <v>43</v>
      </c>
      <c r="K8" s="45">
        <f>_xlfn.XLOOKUP(B8,'Format-Blr'!$B$7:$B$44,'Format-Blr'!AD$7:AD$44)</f>
        <v>0</v>
      </c>
      <c r="L8" s="45">
        <f>_xlfn.XLOOKUP(B8,'Format-Blr'!$B$7:$B$44,'Format-Blr'!AE$7:AE$44)</f>
        <v>0</v>
      </c>
      <c r="M8" s="45">
        <f>_xlfn.XLOOKUP(B8,'Format-Blr'!$B$7:$B$44,'Format-Blr'!AK$7:AK$44)</f>
        <v>0</v>
      </c>
      <c r="N8" s="45">
        <f>_xlfn.XLOOKUP(B8,'Format-Blr'!$B$7:$B$44,'Format-Blr'!AL$7:AL$44)</f>
        <v>0</v>
      </c>
      <c r="O8" s="45">
        <f>_xlfn.XLOOKUP(B8,'Format-Blr'!$B$7:$B$44,'Format-Blr'!AR$7:AR$44)</f>
        <v>51</v>
      </c>
      <c r="P8" s="45">
        <f>_xlfn.XLOOKUP(B8,'Format-Blr'!$B$7:$B$44,'Format-Blr'!AS$7:AS$44)</f>
        <v>47</v>
      </c>
      <c r="Q8" s="45">
        <f>_xlfn.XLOOKUP(B8,'Format-Blr'!$B$7:$B$44,'Format-Blr'!AY$7:AY$44)</f>
        <v>0</v>
      </c>
      <c r="R8" s="45">
        <f>_xlfn.XLOOKUP(B8,'Format-Blr'!$B$7:$B$44,'Format-Blr'!AZ$7:AZ$44)</f>
        <v>0</v>
      </c>
      <c r="S8" s="45">
        <f>_xlfn.XLOOKUP(B8,'Format-Blr'!$B$7:$B$44,'Format-Blr'!BF$7:BF$44)</f>
        <v>39</v>
      </c>
      <c r="T8" s="45">
        <f>_xlfn.XLOOKUP(B8,'Format-Blr'!$B$7:$B$44,'Format-Blr'!BG$7:BG$44)</f>
        <v>36</v>
      </c>
      <c r="U8" s="45">
        <f>_xlfn.XLOOKUP(B8,'Format-Blr'!$B$7:$B$44,'Format-Blr'!BM$7:BM$44)</f>
        <v>0</v>
      </c>
      <c r="V8" s="45">
        <f>_xlfn.XLOOKUP(B8,'Format-Blr'!$B$7:$B$44,'Format-Blr'!BN$7:BN$44)</f>
        <v>0</v>
      </c>
      <c r="W8" s="45">
        <f>_xlfn.XLOOKUP(B8,'Format-Blr'!$B$7:$B$44,'Format-Blr'!BT$7:BT$44)</f>
        <v>0</v>
      </c>
      <c r="X8" s="45">
        <f>_xlfn.XLOOKUP(B8,'Format-Blr'!$B$7:$B$44,'Format-Blr'!BU$7:BU$44)</f>
        <v>0</v>
      </c>
      <c r="Y8" s="34">
        <f t="shared" si="1"/>
        <v>140</v>
      </c>
      <c r="Z8" s="34">
        <f t="shared" si="2"/>
        <v>126</v>
      </c>
      <c r="AA8" s="38">
        <f t="shared" si="3"/>
        <v>90</v>
      </c>
      <c r="AB8" s="44">
        <f>_xlfn.XLOOKUP(B8,'Format-Blr'!$B$51:$B$88,'Format-Blr'!I$51:I$88)</f>
        <v>0</v>
      </c>
      <c r="AC8" s="45">
        <f>_xlfn.XLOOKUP(B8,'Format-Blr'!$B$51:$B$88,'Format-Blr'!J$51:J$88)</f>
        <v>0</v>
      </c>
      <c r="AD8" s="45">
        <f>_xlfn.XLOOKUP(B8,'Format-Blr'!$B$51:$B$88,'Format-Blr'!P$51:P$88)</f>
        <v>0</v>
      </c>
      <c r="AE8" s="45">
        <f>_xlfn.XLOOKUP(B8,'Format-Blr'!$B$51:$B$88,'Format-Blr'!Q$51:Q$88)</f>
        <v>0</v>
      </c>
      <c r="AF8" s="45">
        <f>_xlfn.XLOOKUP(B8,'Format-Blr'!$B$51:$B$88,'Format-Blr'!W$51:W$88)</f>
        <v>30</v>
      </c>
      <c r="AG8" s="45">
        <f>_xlfn.XLOOKUP(B8,'Format-Blr'!$B$51:$B$88,'Format-Blr'!X$51:X$88)</f>
        <v>0</v>
      </c>
      <c r="AH8" s="45">
        <f>_xlfn.XLOOKUP(B8,'Format-Blr'!$B$51:$B$88,'Format-Blr'!AD$51:AD$88)</f>
        <v>0</v>
      </c>
      <c r="AI8" s="45">
        <f>_xlfn.XLOOKUP(B8,'Format-Blr'!$B$51:$B$88,'Format-Blr'!AE$51:AE$88)</f>
        <v>0</v>
      </c>
      <c r="AJ8" s="45">
        <f>_xlfn.XLOOKUP(B8,'Format-Blr'!$B$51:$B$88,'Format-Blr'!AK$51:AK$88)</f>
        <v>53</v>
      </c>
      <c r="AK8" s="45">
        <f>_xlfn.XLOOKUP(B8,'Format-Blr'!$B$51:$B$88,'Format-Blr'!AL$51:AL$88)</f>
        <v>2</v>
      </c>
      <c r="AL8" s="45">
        <f>_xlfn.XLOOKUP(B8,'Format-Blr'!$B$51:$B$88,'Format-Blr'!AR$51:AR$88)</f>
        <v>36</v>
      </c>
      <c r="AM8" s="45">
        <f>_xlfn.XLOOKUP(B8,'Format-Blr'!$B$51:$B$88,'Format-Blr'!AS$51:AS$88)</f>
        <v>2</v>
      </c>
      <c r="AN8" s="45">
        <f>_xlfn.XLOOKUP(B8,'Format-Blr'!$B$51:$B$88,'Format-Blr'!AY$51:AY$88)</f>
        <v>0</v>
      </c>
      <c r="AO8" s="45">
        <f>_xlfn.XLOOKUP(B8,'Format-Blr'!$B$51:$B$88,'Format-Blr'!AZ$51:AZ$88)</f>
        <v>0</v>
      </c>
      <c r="AP8" s="45">
        <f>_xlfn.XLOOKUP(B8,'Format-Blr'!$B$51:$B$88,'Format-Blr'!BF$51:BF$88)</f>
        <v>48</v>
      </c>
      <c r="AQ8" s="45">
        <f>_xlfn.XLOOKUP(B8,'Format-Blr'!$B$51:$B$88,'Format-Blr'!BG$51:BG$88)</f>
        <v>1</v>
      </c>
      <c r="AR8" s="45">
        <f>_xlfn.XLOOKUP(B8,'Format-Blr'!$B$51:$B$88,'Format-Blr'!BM$51:BM$88)</f>
        <v>0</v>
      </c>
      <c r="AS8" s="45">
        <f>_xlfn.XLOOKUP(B8,'Format-Blr'!$B$51:$B$88,'Format-Blr'!BN$51:BN$88)</f>
        <v>0</v>
      </c>
      <c r="AT8" s="45">
        <f>_xlfn.XLOOKUP(B8,'Format-Blr'!$B$51:$B$88,'Format-Blr'!BT$51:BT$88)</f>
        <v>0</v>
      </c>
      <c r="AU8" s="45">
        <f>_xlfn.XLOOKUP(B8,'Format-Blr'!$B$51:$B$88,'Format-Blr'!BU$51:BU$88)</f>
        <v>0</v>
      </c>
      <c r="AV8" s="34">
        <f t="shared" si="4"/>
        <v>167</v>
      </c>
      <c r="AW8" s="34">
        <f t="shared" si="5"/>
        <v>5</v>
      </c>
      <c r="AX8" s="38">
        <f t="shared" si="6"/>
        <v>2.9940119760479043</v>
      </c>
      <c r="AY8" s="37">
        <f>_xlfn.XLOOKUP(B8,'Format-Blr'!B$51:B$88,'Format-Blr'!CF$51:CF$88)</f>
        <v>0</v>
      </c>
      <c r="AZ8" s="34">
        <f>_xlfn.XLOOKUP(B8,'Format-Blr'!B$51:B$88,'Format-Blr'!CG$51:CG$88)</f>
        <v>0</v>
      </c>
      <c r="BA8" s="35" t="e">
        <f t="shared" si="7"/>
        <v>#DIV/0!</v>
      </c>
      <c r="BB8" s="37">
        <f>_xlfn.XLOOKUP(B8,'Format-Blr'!$B$7:$B$44,'Format-Blr'!CF$7:CF$44)</f>
        <v>0</v>
      </c>
      <c r="BC8" s="34">
        <f>_xlfn.XLOOKUP(B8,'Format-Blr'!$B$7:$B$44,'Format-Blr'!CG$7:CG$44)</f>
        <v>0</v>
      </c>
      <c r="BD8" s="34">
        <f>_xlfn.XLOOKUP(B8,'Format-Blr'!$B$7:$B$44,'Format-Blr'!CI$7:CI$44)</f>
        <v>0</v>
      </c>
      <c r="BE8" s="34">
        <f>_xlfn.XLOOKUP(B8,'Format-Blr'!$B$7:$B$44,'Format-Blr'!CJ$7:CJ$44)</f>
        <v>0</v>
      </c>
      <c r="BF8" s="34">
        <f>_xlfn.XLOOKUP(B8,'Format-Blr'!$B$7:$B$44,'Format-Blr'!CL$7:CL$44)</f>
        <v>0</v>
      </c>
      <c r="BG8" s="34">
        <f>_xlfn.XLOOKUP(B8,'Format-Blr'!$B$7:$B$44,'Format-Blr'!CM$7:CM$44)</f>
        <v>0</v>
      </c>
      <c r="BH8" s="34">
        <f>_xlfn.XLOOKUP(B8,'Format-Blr'!$B$7:$B$44,'Format-Blr'!CO$7:CO$44)</f>
        <v>0</v>
      </c>
      <c r="BI8" s="52">
        <f>_xlfn.XLOOKUP(B8,'Format-Blr'!$B$7:$B$44,'Format-Blr'!CP$7:CP$44)</f>
        <v>0</v>
      </c>
      <c r="BJ8" s="37">
        <f t="shared" ref="BJ8:BJ43" si="13">SUM(BB8,BD8,BF8,BH8)</f>
        <v>0</v>
      </c>
      <c r="BK8" s="34">
        <f t="shared" si="8"/>
        <v>0</v>
      </c>
      <c r="BL8" s="38" t="e">
        <f t="shared" si="9"/>
        <v>#DIV/0!</v>
      </c>
      <c r="BN8" s="37">
        <f t="shared" si="10"/>
        <v>307</v>
      </c>
      <c r="BO8" s="34">
        <f t="shared" si="11"/>
        <v>131</v>
      </c>
      <c r="BP8" s="38">
        <f t="shared" si="12"/>
        <v>42.671009771986974</v>
      </c>
    </row>
    <row r="9" spans="1:68" s="9" customFormat="1" ht="21" customHeight="1" x14ac:dyDescent="0.25">
      <c r="A9" s="46" t="s">
        <v>23</v>
      </c>
      <c r="B9" s="55" t="s">
        <v>36</v>
      </c>
      <c r="C9" s="48" t="s">
        <v>15</v>
      </c>
      <c r="D9" s="49" t="s">
        <v>16</v>
      </c>
      <c r="E9" s="44">
        <f>_xlfn.XLOOKUP(B9,'Format-Blr'!$B$7:$B$44,'Format-Blr'!I$7:I$44)</f>
        <v>0</v>
      </c>
      <c r="F9" s="45">
        <f>_xlfn.XLOOKUP(B9,'Format-Blr'!$B$7:$B$44,'Format-Blr'!J$7:J$44)</f>
        <v>0</v>
      </c>
      <c r="G9" s="45">
        <f>_xlfn.XLOOKUP(B9,'Format-Blr'!$B$7:$B$44,'Format-Blr'!P$7:P$44)</f>
        <v>0</v>
      </c>
      <c r="H9" s="45">
        <f>_xlfn.XLOOKUP(B9,'Format-Blr'!$B$7:$B$44,'Format-Blr'!Q$7:Q$44)</f>
        <v>0</v>
      </c>
      <c r="I9" s="45">
        <f>_xlfn.XLOOKUP(B9,'Format-Blr'!$B$7:$B$44,'Format-Blr'!W$7:W$44)</f>
        <v>51</v>
      </c>
      <c r="J9" s="45">
        <f>_xlfn.XLOOKUP(B9,'Format-Blr'!$B$7:$B$44,'Format-Blr'!X$7:X$44)</f>
        <v>46</v>
      </c>
      <c r="K9" s="45">
        <f>_xlfn.XLOOKUP(B9,'Format-Blr'!$B$7:$B$44,'Format-Blr'!AD$7:AD$44)</f>
        <v>0</v>
      </c>
      <c r="L9" s="45">
        <f>_xlfn.XLOOKUP(B9,'Format-Blr'!$B$7:$B$44,'Format-Blr'!AE$7:AE$44)</f>
        <v>0</v>
      </c>
      <c r="M9" s="45">
        <f>_xlfn.XLOOKUP(B9,'Format-Blr'!$B$7:$B$44,'Format-Blr'!AK$7:AK$44)</f>
        <v>0</v>
      </c>
      <c r="N9" s="45">
        <f>_xlfn.XLOOKUP(B9,'Format-Blr'!$B$7:$B$44,'Format-Blr'!AL$7:AL$44)</f>
        <v>0</v>
      </c>
      <c r="O9" s="45">
        <f>_xlfn.XLOOKUP(B9,'Format-Blr'!$B$7:$B$44,'Format-Blr'!AR$7:AR$44)</f>
        <v>100</v>
      </c>
      <c r="P9" s="45">
        <f>_xlfn.XLOOKUP(B9,'Format-Blr'!$B$7:$B$44,'Format-Blr'!AS$7:AS$44)</f>
        <v>89</v>
      </c>
      <c r="Q9" s="45">
        <f>_xlfn.XLOOKUP(B9,'Format-Blr'!$B$7:$B$44,'Format-Blr'!AY$7:AY$44)</f>
        <v>0</v>
      </c>
      <c r="R9" s="45">
        <f>_xlfn.XLOOKUP(B9,'Format-Blr'!$B$7:$B$44,'Format-Blr'!AZ$7:AZ$44)</f>
        <v>0</v>
      </c>
      <c r="S9" s="45">
        <f>_xlfn.XLOOKUP(B9,'Format-Blr'!$B$7:$B$44,'Format-Blr'!BF$7:BF$44)</f>
        <v>48</v>
      </c>
      <c r="T9" s="45">
        <f>_xlfn.XLOOKUP(B9,'Format-Blr'!$B$7:$B$44,'Format-Blr'!BG$7:BG$44)</f>
        <v>41</v>
      </c>
      <c r="U9" s="45">
        <f>_xlfn.XLOOKUP(B9,'Format-Blr'!$B$7:$B$44,'Format-Blr'!BM$7:BM$44)</f>
        <v>0</v>
      </c>
      <c r="V9" s="45">
        <f>_xlfn.XLOOKUP(B9,'Format-Blr'!$B$7:$B$44,'Format-Blr'!BN$7:BN$44)</f>
        <v>0</v>
      </c>
      <c r="W9" s="45">
        <f>_xlfn.XLOOKUP(B9,'Format-Blr'!$B$7:$B$44,'Format-Blr'!BT$7:BT$44)</f>
        <v>0</v>
      </c>
      <c r="X9" s="45">
        <f>_xlfn.XLOOKUP(B9,'Format-Blr'!$B$7:$B$44,'Format-Blr'!BU$7:BU$44)</f>
        <v>0</v>
      </c>
      <c r="Y9" s="34">
        <f t="shared" si="1"/>
        <v>199</v>
      </c>
      <c r="Z9" s="34">
        <f t="shared" si="2"/>
        <v>176</v>
      </c>
      <c r="AA9" s="38">
        <f t="shared" si="3"/>
        <v>88.442211055276388</v>
      </c>
      <c r="AB9" s="44">
        <f>_xlfn.XLOOKUP(B9,'Format-Blr'!$B$51:$B$88,'Format-Blr'!I$51:I$88)</f>
        <v>0</v>
      </c>
      <c r="AC9" s="45">
        <f>_xlfn.XLOOKUP(B9,'Format-Blr'!$B$51:$B$88,'Format-Blr'!J$51:J$88)</f>
        <v>0</v>
      </c>
      <c r="AD9" s="45">
        <f>_xlfn.XLOOKUP(B9,'Format-Blr'!$B$51:$B$88,'Format-Blr'!P$51:P$88)</f>
        <v>0</v>
      </c>
      <c r="AE9" s="45">
        <f>_xlfn.XLOOKUP(B9,'Format-Blr'!$B$51:$B$88,'Format-Blr'!Q$51:Q$88)</f>
        <v>0</v>
      </c>
      <c r="AF9" s="45">
        <f>_xlfn.XLOOKUP(B9,'Format-Blr'!$B$51:$B$88,'Format-Blr'!W$51:W$88)</f>
        <v>16</v>
      </c>
      <c r="AG9" s="45">
        <f>_xlfn.XLOOKUP(B9,'Format-Blr'!$B$51:$B$88,'Format-Blr'!X$51:X$88)</f>
        <v>4</v>
      </c>
      <c r="AH9" s="45">
        <f>_xlfn.XLOOKUP(B9,'Format-Blr'!$B$51:$B$88,'Format-Blr'!AD$51:AD$88)</f>
        <v>0</v>
      </c>
      <c r="AI9" s="45">
        <f>_xlfn.XLOOKUP(B9,'Format-Blr'!$B$51:$B$88,'Format-Blr'!AE$51:AE$88)</f>
        <v>0</v>
      </c>
      <c r="AJ9" s="45">
        <f>_xlfn.XLOOKUP(B9,'Format-Blr'!$B$51:$B$88,'Format-Blr'!AK$51:AK$88)</f>
        <v>49</v>
      </c>
      <c r="AK9" s="45">
        <f>_xlfn.XLOOKUP(B9,'Format-Blr'!$B$51:$B$88,'Format-Blr'!AL$51:AL$88)</f>
        <v>6</v>
      </c>
      <c r="AL9" s="45">
        <f>_xlfn.XLOOKUP(B9,'Format-Blr'!$B$51:$B$88,'Format-Blr'!AR$51:AR$88)</f>
        <v>36</v>
      </c>
      <c r="AM9" s="45">
        <f>_xlfn.XLOOKUP(B9,'Format-Blr'!$B$51:$B$88,'Format-Blr'!AS$51:AS$88)</f>
        <v>7</v>
      </c>
      <c r="AN9" s="45">
        <f>_xlfn.XLOOKUP(B9,'Format-Blr'!$B$51:$B$88,'Format-Blr'!AY$51:AY$88)</f>
        <v>22</v>
      </c>
      <c r="AO9" s="45">
        <f>_xlfn.XLOOKUP(B9,'Format-Blr'!$B$51:$B$88,'Format-Blr'!AZ$51:AZ$88)</f>
        <v>3</v>
      </c>
      <c r="AP9" s="45">
        <f>_xlfn.XLOOKUP(B9,'Format-Blr'!$B$51:$B$88,'Format-Blr'!BF$51:BF$88)</f>
        <v>0</v>
      </c>
      <c r="AQ9" s="45">
        <f>_xlfn.XLOOKUP(B9,'Format-Blr'!$B$51:$B$88,'Format-Blr'!BG$51:BG$88)</f>
        <v>0</v>
      </c>
      <c r="AR9" s="45">
        <f>_xlfn.XLOOKUP(B9,'Format-Blr'!$B$51:$B$88,'Format-Blr'!BM$51:BM$88)</f>
        <v>42</v>
      </c>
      <c r="AS9" s="45">
        <f>_xlfn.XLOOKUP(B9,'Format-Blr'!$B$51:$B$88,'Format-Blr'!BN$51:BN$88)</f>
        <v>8</v>
      </c>
      <c r="AT9" s="45">
        <f>_xlfn.XLOOKUP(B9,'Format-Blr'!$B$51:$B$88,'Format-Blr'!BT$51:BT$88)</f>
        <v>0</v>
      </c>
      <c r="AU9" s="45">
        <f>_xlfn.XLOOKUP(B9,'Format-Blr'!$B$51:$B$88,'Format-Blr'!BU$51:BU$88)</f>
        <v>0</v>
      </c>
      <c r="AV9" s="34">
        <f t="shared" si="4"/>
        <v>165</v>
      </c>
      <c r="AW9" s="34">
        <f t="shared" si="5"/>
        <v>28</v>
      </c>
      <c r="AX9" s="38">
        <f t="shared" si="6"/>
        <v>16.969696969696972</v>
      </c>
      <c r="AY9" s="37">
        <f>_xlfn.XLOOKUP(B9,'Format-Blr'!B$51:B$88,'Format-Blr'!CF$51:CF$88)</f>
        <v>0</v>
      </c>
      <c r="AZ9" s="34">
        <f>_xlfn.XLOOKUP(B9,'Format-Blr'!B$51:B$88,'Format-Blr'!CG$51:CG$88)</f>
        <v>0</v>
      </c>
      <c r="BA9" s="35" t="e">
        <f t="shared" si="7"/>
        <v>#DIV/0!</v>
      </c>
      <c r="BB9" s="37">
        <f>_xlfn.XLOOKUP(B9,'Format-Blr'!$B$7:$B$44,'Format-Blr'!CF$7:CF$44)</f>
        <v>0</v>
      </c>
      <c r="BC9" s="34">
        <f>_xlfn.XLOOKUP(B9,'Format-Blr'!$B$7:$B$44,'Format-Blr'!CG$7:CG$44)</f>
        <v>0</v>
      </c>
      <c r="BD9" s="34">
        <f>_xlfn.XLOOKUP(B9,'Format-Blr'!$B$7:$B$44,'Format-Blr'!CI$7:CI$44)</f>
        <v>0</v>
      </c>
      <c r="BE9" s="34">
        <f>_xlfn.XLOOKUP(B9,'Format-Blr'!$B$7:$B$44,'Format-Blr'!CJ$7:CJ$44)</f>
        <v>0</v>
      </c>
      <c r="BF9" s="34">
        <f>_xlfn.XLOOKUP(B9,'Format-Blr'!$B$7:$B$44,'Format-Blr'!CL$7:CL$44)</f>
        <v>0</v>
      </c>
      <c r="BG9" s="34">
        <f>_xlfn.XLOOKUP(B9,'Format-Blr'!$B$7:$B$44,'Format-Blr'!CM$7:CM$44)</f>
        <v>0</v>
      </c>
      <c r="BH9" s="34">
        <f>_xlfn.XLOOKUP(B9,'Format-Blr'!$B$7:$B$44,'Format-Blr'!CO$7:CO$44)</f>
        <v>0</v>
      </c>
      <c r="BI9" s="52">
        <f>_xlfn.XLOOKUP(B9,'Format-Blr'!$B$7:$B$44,'Format-Blr'!CP$7:CP$44)</f>
        <v>0</v>
      </c>
      <c r="BJ9" s="37">
        <f t="shared" si="13"/>
        <v>0</v>
      </c>
      <c r="BK9" s="34">
        <f t="shared" si="8"/>
        <v>0</v>
      </c>
      <c r="BL9" s="38" t="e">
        <f t="shared" si="9"/>
        <v>#DIV/0!</v>
      </c>
      <c r="BN9" s="37">
        <f t="shared" si="10"/>
        <v>364</v>
      </c>
      <c r="BO9" s="34">
        <f t="shared" si="11"/>
        <v>204</v>
      </c>
      <c r="BP9" s="38">
        <f t="shared" si="12"/>
        <v>56.043956043956044</v>
      </c>
    </row>
    <row r="10" spans="1:68" s="9" customFormat="1" ht="21" customHeight="1" x14ac:dyDescent="0.25">
      <c r="A10" s="46" t="s">
        <v>23</v>
      </c>
      <c r="B10" s="55" t="s">
        <v>34</v>
      </c>
      <c r="C10" s="50" t="s">
        <v>15</v>
      </c>
      <c r="D10" s="49" t="s">
        <v>16</v>
      </c>
      <c r="E10" s="44">
        <f>_xlfn.XLOOKUP(B10,'Format-Blr'!$B$7:$B$44,'Format-Blr'!I$7:I$44)</f>
        <v>0</v>
      </c>
      <c r="F10" s="45">
        <f>_xlfn.XLOOKUP(B10,'Format-Blr'!$B$7:$B$44,'Format-Blr'!J$7:J$44)</f>
        <v>0</v>
      </c>
      <c r="G10" s="45">
        <f>_xlfn.XLOOKUP(B10,'Format-Blr'!$B$7:$B$44,'Format-Blr'!P$7:P$44)</f>
        <v>44</v>
      </c>
      <c r="H10" s="45">
        <f>_xlfn.XLOOKUP(B10,'Format-Blr'!$B$7:$B$44,'Format-Blr'!Q$7:Q$44)</f>
        <v>40</v>
      </c>
      <c r="I10" s="45">
        <f>_xlfn.XLOOKUP(B10,'Format-Blr'!$B$7:$B$44,'Format-Blr'!W$7:W$44)</f>
        <v>46</v>
      </c>
      <c r="J10" s="45">
        <f>_xlfn.XLOOKUP(B10,'Format-Blr'!$B$7:$B$44,'Format-Blr'!X$7:X$44)</f>
        <v>42</v>
      </c>
      <c r="K10" s="45">
        <f>_xlfn.XLOOKUP(B10,'Format-Blr'!$B$7:$B$44,'Format-Blr'!AD$7:AD$44)</f>
        <v>0</v>
      </c>
      <c r="L10" s="45">
        <f>_xlfn.XLOOKUP(B10,'Format-Blr'!$B$7:$B$44,'Format-Blr'!AE$7:AE$44)</f>
        <v>0</v>
      </c>
      <c r="M10" s="45">
        <f>_xlfn.XLOOKUP(B10,'Format-Blr'!$B$7:$B$44,'Format-Blr'!AK$7:AK$44)</f>
        <v>34</v>
      </c>
      <c r="N10" s="45">
        <f>_xlfn.XLOOKUP(B10,'Format-Blr'!$B$7:$B$44,'Format-Blr'!AL$7:AL$44)</f>
        <v>31</v>
      </c>
      <c r="O10" s="45">
        <f>_xlfn.XLOOKUP(B10,'Format-Blr'!$B$7:$B$44,'Format-Blr'!AR$7:AR$44)</f>
        <v>41</v>
      </c>
      <c r="P10" s="45">
        <f>_xlfn.XLOOKUP(B10,'Format-Blr'!$B$7:$B$44,'Format-Blr'!AS$7:AS$44)</f>
        <v>36</v>
      </c>
      <c r="Q10" s="45">
        <f>_xlfn.XLOOKUP(B10,'Format-Blr'!$B$7:$B$44,'Format-Blr'!AY$7:AY$44)</f>
        <v>0</v>
      </c>
      <c r="R10" s="45">
        <f>_xlfn.XLOOKUP(B10,'Format-Blr'!$B$7:$B$44,'Format-Blr'!AZ$7:AZ$44)</f>
        <v>0</v>
      </c>
      <c r="S10" s="45">
        <f>_xlfn.XLOOKUP(B10,'Format-Blr'!$B$7:$B$44,'Format-Blr'!BF$7:BF$44)</f>
        <v>47</v>
      </c>
      <c r="T10" s="45">
        <f>_xlfn.XLOOKUP(B10,'Format-Blr'!$B$7:$B$44,'Format-Blr'!BG$7:BG$44)</f>
        <v>43</v>
      </c>
      <c r="U10" s="45">
        <f>_xlfn.XLOOKUP(B10,'Format-Blr'!$B$7:$B$44,'Format-Blr'!BM$7:BM$44)</f>
        <v>0</v>
      </c>
      <c r="V10" s="45">
        <f>_xlfn.XLOOKUP(B10,'Format-Blr'!$B$7:$B$44,'Format-Blr'!BN$7:BN$44)</f>
        <v>0</v>
      </c>
      <c r="W10" s="45">
        <f>_xlfn.XLOOKUP(B10,'Format-Blr'!$B$7:$B$44,'Format-Blr'!BT$7:BT$44)</f>
        <v>29</v>
      </c>
      <c r="X10" s="45">
        <f>_xlfn.XLOOKUP(B10,'Format-Blr'!$B$7:$B$44,'Format-Blr'!BU$7:BU$44)</f>
        <v>27</v>
      </c>
      <c r="Y10" s="34">
        <f t="shared" si="1"/>
        <v>241</v>
      </c>
      <c r="Z10" s="34">
        <f t="shared" si="2"/>
        <v>219</v>
      </c>
      <c r="AA10" s="38">
        <f t="shared" si="3"/>
        <v>90.871369294605813</v>
      </c>
      <c r="AB10" s="44">
        <f>_xlfn.XLOOKUP(B10,'Format-Blr'!$B$51:$B$88,'Format-Blr'!I$51:I$88)</f>
        <v>0</v>
      </c>
      <c r="AC10" s="45">
        <f>_xlfn.XLOOKUP(B10,'Format-Blr'!$B$51:$B$88,'Format-Blr'!J$51:J$88)</f>
        <v>0</v>
      </c>
      <c r="AD10" s="45">
        <f>_xlfn.XLOOKUP(B10,'Format-Blr'!$B$51:$B$88,'Format-Blr'!P$51:P$88)</f>
        <v>17</v>
      </c>
      <c r="AE10" s="45">
        <f>_xlfn.XLOOKUP(B10,'Format-Blr'!$B$51:$B$88,'Format-Blr'!Q$51:Q$88)</f>
        <v>10</v>
      </c>
      <c r="AF10" s="45">
        <f>_xlfn.XLOOKUP(B10,'Format-Blr'!$B$51:$B$88,'Format-Blr'!W$51:W$88)</f>
        <v>55</v>
      </c>
      <c r="AG10" s="45">
        <f>_xlfn.XLOOKUP(B10,'Format-Blr'!$B$51:$B$88,'Format-Blr'!X$51:X$88)</f>
        <v>4</v>
      </c>
      <c r="AH10" s="45">
        <f>_xlfn.XLOOKUP(B10,'Format-Blr'!$B$51:$B$88,'Format-Blr'!AD$51:AD$88)</f>
        <v>0</v>
      </c>
      <c r="AI10" s="45">
        <f>_xlfn.XLOOKUP(B10,'Format-Blr'!$B$51:$B$88,'Format-Blr'!AE$51:AE$88)</f>
        <v>0</v>
      </c>
      <c r="AJ10" s="45">
        <f>_xlfn.XLOOKUP(B10,'Format-Blr'!$B$51:$B$88,'Format-Blr'!AK$51:AK$88)</f>
        <v>0</v>
      </c>
      <c r="AK10" s="45">
        <f>_xlfn.XLOOKUP(B10,'Format-Blr'!$B$51:$B$88,'Format-Blr'!AL$51:AL$88)</f>
        <v>0</v>
      </c>
      <c r="AL10" s="45">
        <f>_xlfn.XLOOKUP(B10,'Format-Blr'!$B$51:$B$88,'Format-Blr'!AR$51:AR$88)</f>
        <v>57</v>
      </c>
      <c r="AM10" s="45">
        <f>_xlfn.XLOOKUP(B10,'Format-Blr'!$B$51:$B$88,'Format-Blr'!AS$51:AS$88)</f>
        <v>5</v>
      </c>
      <c r="AN10" s="45">
        <f>_xlfn.XLOOKUP(B10,'Format-Blr'!$B$51:$B$88,'Format-Blr'!AY$51:AY$88)</f>
        <v>0</v>
      </c>
      <c r="AO10" s="45">
        <f>_xlfn.XLOOKUP(B10,'Format-Blr'!$B$51:$B$88,'Format-Blr'!AZ$51:AZ$88)</f>
        <v>0</v>
      </c>
      <c r="AP10" s="45">
        <f>_xlfn.XLOOKUP(B10,'Format-Blr'!$B$51:$B$88,'Format-Blr'!BF$51:BF$88)</f>
        <v>48</v>
      </c>
      <c r="AQ10" s="45">
        <f>_xlfn.XLOOKUP(B10,'Format-Blr'!$B$51:$B$88,'Format-Blr'!BG$51:BG$88)</f>
        <v>11</v>
      </c>
      <c r="AR10" s="45">
        <f>_xlfn.XLOOKUP(B10,'Format-Blr'!$B$51:$B$88,'Format-Blr'!BM$51:BM$88)</f>
        <v>10</v>
      </c>
      <c r="AS10" s="45">
        <f>_xlfn.XLOOKUP(B10,'Format-Blr'!$B$51:$B$88,'Format-Blr'!BN$51:BN$88)</f>
        <v>2</v>
      </c>
      <c r="AT10" s="45">
        <f>_xlfn.XLOOKUP(B10,'Format-Blr'!$B$51:$B$88,'Format-Blr'!BT$51:BT$88)</f>
        <v>0</v>
      </c>
      <c r="AU10" s="45">
        <f>_xlfn.XLOOKUP(B10,'Format-Blr'!$B$51:$B$88,'Format-Blr'!BU$51:BU$88)</f>
        <v>0</v>
      </c>
      <c r="AV10" s="34">
        <f t="shared" si="4"/>
        <v>187</v>
      </c>
      <c r="AW10" s="34">
        <f t="shared" si="5"/>
        <v>32</v>
      </c>
      <c r="AX10" s="38">
        <f t="shared" si="6"/>
        <v>17.112299465240639</v>
      </c>
      <c r="AY10" s="37">
        <f>_xlfn.XLOOKUP(B10,'Format-Blr'!B$51:B$88,'Format-Blr'!CF$51:CF$88)</f>
        <v>0</v>
      </c>
      <c r="AZ10" s="34">
        <f>_xlfn.XLOOKUP(B10,'Format-Blr'!B$51:B$88,'Format-Blr'!CG$51:CG$88)</f>
        <v>0</v>
      </c>
      <c r="BA10" s="35" t="e">
        <f t="shared" si="7"/>
        <v>#DIV/0!</v>
      </c>
      <c r="BB10" s="37">
        <f>_xlfn.XLOOKUP(B10,'Format-Blr'!$B$7:$B$44,'Format-Blr'!CF$7:CF$44)</f>
        <v>0</v>
      </c>
      <c r="BC10" s="34">
        <f>_xlfn.XLOOKUP(B10,'Format-Blr'!$B$7:$B$44,'Format-Blr'!CG$7:CG$44)</f>
        <v>0</v>
      </c>
      <c r="BD10" s="34">
        <f>_xlfn.XLOOKUP(B10,'Format-Blr'!$B$7:$B$44,'Format-Blr'!CI$7:CI$44)</f>
        <v>0</v>
      </c>
      <c r="BE10" s="34">
        <f>_xlfn.XLOOKUP(B10,'Format-Blr'!$B$7:$B$44,'Format-Blr'!CJ$7:CJ$44)</f>
        <v>0</v>
      </c>
      <c r="BF10" s="34">
        <f>_xlfn.XLOOKUP(B10,'Format-Blr'!$B$7:$B$44,'Format-Blr'!CL$7:CL$44)</f>
        <v>0</v>
      </c>
      <c r="BG10" s="34">
        <f>_xlfn.XLOOKUP(B10,'Format-Blr'!$B$7:$B$44,'Format-Blr'!CM$7:CM$44)</f>
        <v>0</v>
      </c>
      <c r="BH10" s="34">
        <f>_xlfn.XLOOKUP(B10,'Format-Blr'!$B$7:$B$44,'Format-Blr'!CO$7:CO$44)</f>
        <v>0</v>
      </c>
      <c r="BI10" s="52">
        <f>_xlfn.XLOOKUP(B10,'Format-Blr'!$B$7:$B$44,'Format-Blr'!CP$7:CP$44)</f>
        <v>0</v>
      </c>
      <c r="BJ10" s="37">
        <f t="shared" si="13"/>
        <v>0</v>
      </c>
      <c r="BK10" s="34">
        <f t="shared" si="8"/>
        <v>0</v>
      </c>
      <c r="BL10" s="38" t="e">
        <f t="shared" si="9"/>
        <v>#DIV/0!</v>
      </c>
      <c r="BN10" s="37">
        <f t="shared" si="10"/>
        <v>428</v>
      </c>
      <c r="BO10" s="34">
        <f t="shared" si="11"/>
        <v>251</v>
      </c>
      <c r="BP10" s="38">
        <f t="shared" si="12"/>
        <v>58.644859813084118</v>
      </c>
    </row>
    <row r="11" spans="1:68" s="9" customFormat="1" ht="21" customHeight="1" x14ac:dyDescent="0.25">
      <c r="A11" s="46" t="s">
        <v>23</v>
      </c>
      <c r="B11" s="55" t="s">
        <v>42</v>
      </c>
      <c r="C11" s="48" t="s">
        <v>56</v>
      </c>
      <c r="D11" s="49" t="s">
        <v>16</v>
      </c>
      <c r="E11" s="44">
        <f>_xlfn.XLOOKUP(B11,'Format-Blr'!$B$7:$B$44,'Format-Blr'!I$7:I$44)</f>
        <v>161</v>
      </c>
      <c r="F11" s="45">
        <f>_xlfn.XLOOKUP(B11,'Format-Blr'!$B$7:$B$44,'Format-Blr'!J$7:J$44)</f>
        <v>149</v>
      </c>
      <c r="G11" s="45">
        <f>_xlfn.XLOOKUP(B11,'Format-Blr'!$B$7:$B$44,'Format-Blr'!P$7:P$44)</f>
        <v>236</v>
      </c>
      <c r="H11" s="45">
        <f>_xlfn.XLOOKUP(B11,'Format-Blr'!$B$7:$B$44,'Format-Blr'!Q$7:Q$44)</f>
        <v>216</v>
      </c>
      <c r="I11" s="45">
        <f>_xlfn.XLOOKUP(B11,'Format-Blr'!$B$7:$B$44,'Format-Blr'!W$7:W$44)</f>
        <v>0</v>
      </c>
      <c r="J11" s="45">
        <f>_xlfn.XLOOKUP(B11,'Format-Blr'!$B$7:$B$44,'Format-Blr'!X$7:X$44)</f>
        <v>0</v>
      </c>
      <c r="K11" s="45">
        <f>_xlfn.XLOOKUP(B11,'Format-Blr'!$B$7:$B$44,'Format-Blr'!AD$7:AD$44)</f>
        <v>0</v>
      </c>
      <c r="L11" s="45">
        <f>_xlfn.XLOOKUP(B11,'Format-Blr'!$B$7:$B$44,'Format-Blr'!AE$7:AE$44)</f>
        <v>0</v>
      </c>
      <c r="M11" s="45">
        <f>_xlfn.XLOOKUP(B11,'Format-Blr'!$B$7:$B$44,'Format-Blr'!AK$7:AK$44)</f>
        <v>0</v>
      </c>
      <c r="N11" s="45">
        <f>_xlfn.XLOOKUP(B11,'Format-Blr'!$B$7:$B$44,'Format-Blr'!AL$7:AL$44)</f>
        <v>0</v>
      </c>
      <c r="O11" s="45">
        <f>_xlfn.XLOOKUP(B11,'Format-Blr'!$B$7:$B$44,'Format-Blr'!AR$7:AR$44)</f>
        <v>0</v>
      </c>
      <c r="P11" s="45">
        <f>_xlfn.XLOOKUP(B11,'Format-Blr'!$B$7:$B$44,'Format-Blr'!AS$7:AS$44)</f>
        <v>0</v>
      </c>
      <c r="Q11" s="45">
        <f>_xlfn.XLOOKUP(B11,'Format-Blr'!$B$7:$B$44,'Format-Blr'!AY$7:AY$44)</f>
        <v>153</v>
      </c>
      <c r="R11" s="45">
        <f>_xlfn.XLOOKUP(B11,'Format-Blr'!$B$7:$B$44,'Format-Blr'!AZ$7:AZ$44)</f>
        <v>140</v>
      </c>
      <c r="S11" s="45">
        <f>_xlfn.XLOOKUP(B11,'Format-Blr'!$B$7:$B$44,'Format-Blr'!BF$7:BF$44)</f>
        <v>0</v>
      </c>
      <c r="T11" s="45">
        <f>_xlfn.XLOOKUP(B11,'Format-Blr'!$B$7:$B$44,'Format-Blr'!BG$7:BG$44)</f>
        <v>0</v>
      </c>
      <c r="U11" s="45">
        <f>_xlfn.XLOOKUP(B11,'Format-Blr'!$B$7:$B$44,'Format-Blr'!BM$7:BM$44)</f>
        <v>0</v>
      </c>
      <c r="V11" s="45">
        <f>_xlfn.XLOOKUP(B11,'Format-Blr'!$B$7:$B$44,'Format-Blr'!BN$7:BN$44)</f>
        <v>0</v>
      </c>
      <c r="W11" s="45">
        <f>_xlfn.XLOOKUP(B11,'Format-Blr'!$B$7:$B$44,'Format-Blr'!BT$7:BT$44)</f>
        <v>0</v>
      </c>
      <c r="X11" s="45">
        <f>_xlfn.XLOOKUP(B11,'Format-Blr'!$B$7:$B$44,'Format-Blr'!BU$7:BU$44)</f>
        <v>0</v>
      </c>
      <c r="Y11" s="34">
        <f t="shared" si="1"/>
        <v>550</v>
      </c>
      <c r="Z11" s="34">
        <f t="shared" si="2"/>
        <v>505</v>
      </c>
      <c r="AA11" s="38">
        <f t="shared" si="3"/>
        <v>91.818181818181827</v>
      </c>
      <c r="AB11" s="44">
        <f>_xlfn.XLOOKUP(B11,'Format-Blr'!$B$51:$B$88,'Format-Blr'!I$51:I$88)</f>
        <v>121</v>
      </c>
      <c r="AC11" s="45">
        <f>_xlfn.XLOOKUP(B11,'Format-Blr'!$B$51:$B$88,'Format-Blr'!J$51:J$88)</f>
        <v>45</v>
      </c>
      <c r="AD11" s="45">
        <f>_xlfn.XLOOKUP(B11,'Format-Blr'!$B$51:$B$88,'Format-Blr'!P$51:P$88)</f>
        <v>180</v>
      </c>
      <c r="AE11" s="45">
        <f>_xlfn.XLOOKUP(B11,'Format-Blr'!$B$51:$B$88,'Format-Blr'!Q$51:Q$88)</f>
        <v>43</v>
      </c>
      <c r="AF11" s="45">
        <f>_xlfn.XLOOKUP(B11,'Format-Blr'!$B$51:$B$88,'Format-Blr'!W$51:W$88)</f>
        <v>0</v>
      </c>
      <c r="AG11" s="45">
        <f>_xlfn.XLOOKUP(B11,'Format-Blr'!$B$51:$B$88,'Format-Blr'!X$51:X$88)</f>
        <v>0</v>
      </c>
      <c r="AH11" s="45">
        <f>_xlfn.XLOOKUP(B11,'Format-Blr'!$B$51:$B$88,'Format-Blr'!AD$51:AD$88)</f>
        <v>54</v>
      </c>
      <c r="AI11" s="45">
        <f>_xlfn.XLOOKUP(B11,'Format-Blr'!$B$51:$B$88,'Format-Blr'!AE$51:AE$88)</f>
        <v>19</v>
      </c>
      <c r="AJ11" s="45">
        <f>_xlfn.XLOOKUP(B11,'Format-Blr'!$B$51:$B$88,'Format-Blr'!AK$51:AK$88)</f>
        <v>0</v>
      </c>
      <c r="AK11" s="45">
        <f>_xlfn.XLOOKUP(B11,'Format-Blr'!$B$51:$B$88,'Format-Blr'!AL$51:AL$88)</f>
        <v>0</v>
      </c>
      <c r="AL11" s="45">
        <f>_xlfn.XLOOKUP(B11,'Format-Blr'!$B$51:$B$88,'Format-Blr'!AR$51:AR$88)</f>
        <v>0</v>
      </c>
      <c r="AM11" s="45">
        <f>_xlfn.XLOOKUP(B11,'Format-Blr'!$B$51:$B$88,'Format-Blr'!AS$51:AS$88)</f>
        <v>0</v>
      </c>
      <c r="AN11" s="45">
        <f>_xlfn.XLOOKUP(B11,'Format-Blr'!$B$51:$B$88,'Format-Blr'!AY$51:AY$88)</f>
        <v>0</v>
      </c>
      <c r="AO11" s="45">
        <f>_xlfn.XLOOKUP(B11,'Format-Blr'!$B$51:$B$88,'Format-Blr'!AZ$51:AZ$88)</f>
        <v>0</v>
      </c>
      <c r="AP11" s="45">
        <f>_xlfn.XLOOKUP(B11,'Format-Blr'!$B$51:$B$88,'Format-Blr'!BF$51:BF$88)</f>
        <v>0</v>
      </c>
      <c r="AQ11" s="45">
        <f>_xlfn.XLOOKUP(B11,'Format-Blr'!$B$51:$B$88,'Format-Blr'!BG$51:BG$88)</f>
        <v>0</v>
      </c>
      <c r="AR11" s="45">
        <f>_xlfn.XLOOKUP(B11,'Format-Blr'!$B$51:$B$88,'Format-Blr'!BM$51:BM$88)</f>
        <v>0</v>
      </c>
      <c r="AS11" s="45">
        <f>_xlfn.XLOOKUP(B11,'Format-Blr'!$B$51:$B$88,'Format-Blr'!BN$51:BN$88)</f>
        <v>0</v>
      </c>
      <c r="AT11" s="45">
        <f>_xlfn.XLOOKUP(B11,'Format-Blr'!$B$51:$B$88,'Format-Blr'!BT$51:BT$88)</f>
        <v>0</v>
      </c>
      <c r="AU11" s="45">
        <f>_xlfn.XLOOKUP(B11,'Format-Blr'!$B$51:$B$88,'Format-Blr'!BU$51:BU$88)</f>
        <v>0</v>
      </c>
      <c r="AV11" s="34">
        <f t="shared" si="4"/>
        <v>355</v>
      </c>
      <c r="AW11" s="34">
        <f t="shared" si="5"/>
        <v>107</v>
      </c>
      <c r="AX11" s="38">
        <f t="shared" si="6"/>
        <v>30.140845070422532</v>
      </c>
      <c r="AY11" s="37">
        <f>_xlfn.XLOOKUP(B11,'Format-Blr'!B$51:B$88,'Format-Blr'!CF$51:CF$88)</f>
        <v>0</v>
      </c>
      <c r="AZ11" s="34">
        <f>_xlfn.XLOOKUP(B11,'Format-Blr'!B$51:B$88,'Format-Blr'!CG$51:CG$88)</f>
        <v>0</v>
      </c>
      <c r="BA11" s="35" t="e">
        <f t="shared" si="7"/>
        <v>#DIV/0!</v>
      </c>
      <c r="BB11" s="37">
        <f>_xlfn.XLOOKUP(B11,'Format-Blr'!$B$7:$B$44,'Format-Blr'!CF$7:CF$44)</f>
        <v>45</v>
      </c>
      <c r="BC11" s="34">
        <f>_xlfn.XLOOKUP(B11,'Format-Blr'!$B$7:$B$44,'Format-Blr'!CG$7:CG$44)</f>
        <v>45</v>
      </c>
      <c r="BD11" s="34">
        <f>_xlfn.XLOOKUP(B11,'Format-Blr'!$B$7:$B$44,'Format-Blr'!CI$7:CI$44)</f>
        <v>53</v>
      </c>
      <c r="BE11" s="34">
        <f>_xlfn.XLOOKUP(B11,'Format-Blr'!$B$7:$B$44,'Format-Blr'!CJ$7:CJ$44)</f>
        <v>53</v>
      </c>
      <c r="BF11" s="34">
        <f>_xlfn.XLOOKUP(B11,'Format-Blr'!$B$7:$B$44,'Format-Blr'!CL$7:CL$44)</f>
        <v>91</v>
      </c>
      <c r="BG11" s="34">
        <f>_xlfn.XLOOKUP(B11,'Format-Blr'!$B$7:$B$44,'Format-Blr'!CM$7:CM$44)</f>
        <v>91</v>
      </c>
      <c r="BH11" s="34">
        <f>_xlfn.XLOOKUP(B11,'Format-Blr'!$B$7:$B$44,'Format-Blr'!CO$7:CO$44)</f>
        <v>107</v>
      </c>
      <c r="BI11" s="52">
        <f>_xlfn.XLOOKUP(B11,'Format-Blr'!$B$7:$B$44,'Format-Blr'!CP$7:CP$44)</f>
        <v>107</v>
      </c>
      <c r="BJ11" s="37">
        <f t="shared" si="13"/>
        <v>296</v>
      </c>
      <c r="BK11" s="34">
        <f t="shared" si="8"/>
        <v>296</v>
      </c>
      <c r="BL11" s="38">
        <f t="shared" si="9"/>
        <v>100</v>
      </c>
      <c r="BN11" s="37">
        <f t="shared" si="10"/>
        <v>1201</v>
      </c>
      <c r="BO11" s="34">
        <f t="shared" si="11"/>
        <v>908</v>
      </c>
      <c r="BP11" s="38">
        <f t="shared" si="12"/>
        <v>75.603663613655286</v>
      </c>
    </row>
    <row r="12" spans="1:68" s="9" customFormat="1" ht="21" customHeight="1" x14ac:dyDescent="0.25">
      <c r="A12" s="46" t="s">
        <v>23</v>
      </c>
      <c r="B12" s="55" t="s">
        <v>43</v>
      </c>
      <c r="C12" s="50" t="s">
        <v>15</v>
      </c>
      <c r="D12" s="49" t="s">
        <v>16</v>
      </c>
      <c r="E12" s="44">
        <f>_xlfn.XLOOKUP(B12,'Format-Blr'!$B$7:$B$44,'Format-Blr'!I$7:I$44)</f>
        <v>0</v>
      </c>
      <c r="F12" s="45">
        <f>_xlfn.XLOOKUP(B12,'Format-Blr'!$B$7:$B$44,'Format-Blr'!J$7:J$44)</f>
        <v>0</v>
      </c>
      <c r="G12" s="45">
        <f>_xlfn.XLOOKUP(B12,'Format-Blr'!$B$7:$B$44,'Format-Blr'!P$7:P$44)</f>
        <v>0</v>
      </c>
      <c r="H12" s="45">
        <f>_xlfn.XLOOKUP(B12,'Format-Blr'!$B$7:$B$44,'Format-Blr'!Q$7:Q$44)</f>
        <v>0</v>
      </c>
      <c r="I12" s="45">
        <f>_xlfn.XLOOKUP(B12,'Format-Blr'!$B$7:$B$44,'Format-Blr'!W$7:W$44)</f>
        <v>154</v>
      </c>
      <c r="J12" s="45">
        <f>_xlfn.XLOOKUP(B12,'Format-Blr'!$B$7:$B$44,'Format-Blr'!X$7:X$44)</f>
        <v>134</v>
      </c>
      <c r="K12" s="45">
        <f>_xlfn.XLOOKUP(B12,'Format-Blr'!$B$7:$B$44,'Format-Blr'!AD$7:AD$44)</f>
        <v>0</v>
      </c>
      <c r="L12" s="45">
        <f>_xlfn.XLOOKUP(B12,'Format-Blr'!$B$7:$B$44,'Format-Blr'!AE$7:AE$44)</f>
        <v>0</v>
      </c>
      <c r="M12" s="45">
        <f>_xlfn.XLOOKUP(B12,'Format-Blr'!$B$7:$B$44,'Format-Blr'!AK$7:AK$44)</f>
        <v>55</v>
      </c>
      <c r="N12" s="45">
        <f>_xlfn.XLOOKUP(B12,'Format-Blr'!$B$7:$B$44,'Format-Blr'!AL$7:AL$44)</f>
        <v>54</v>
      </c>
      <c r="O12" s="45">
        <f>_xlfn.XLOOKUP(B12,'Format-Blr'!$B$7:$B$44,'Format-Blr'!AR$7:AR$44)</f>
        <v>112</v>
      </c>
      <c r="P12" s="45">
        <f>_xlfn.XLOOKUP(B12,'Format-Blr'!$B$7:$B$44,'Format-Blr'!AS$7:AS$44)</f>
        <v>98</v>
      </c>
      <c r="Q12" s="45">
        <f>_xlfn.XLOOKUP(B12,'Format-Blr'!$B$7:$B$44,'Format-Blr'!AY$7:AY$44)</f>
        <v>0</v>
      </c>
      <c r="R12" s="45">
        <f>_xlfn.XLOOKUP(B12,'Format-Blr'!$B$7:$B$44,'Format-Blr'!AZ$7:AZ$44)</f>
        <v>0</v>
      </c>
      <c r="S12" s="45">
        <f>_xlfn.XLOOKUP(B12,'Format-Blr'!$B$7:$B$44,'Format-Blr'!BF$7:BF$44)</f>
        <v>65</v>
      </c>
      <c r="T12" s="45">
        <f>_xlfn.XLOOKUP(B12,'Format-Blr'!$B$7:$B$44,'Format-Blr'!BG$7:BG$44)</f>
        <v>63</v>
      </c>
      <c r="U12" s="45">
        <f>_xlfn.XLOOKUP(B12,'Format-Blr'!$B$7:$B$44,'Format-Blr'!BM$7:BM$44)</f>
        <v>0</v>
      </c>
      <c r="V12" s="45">
        <f>_xlfn.XLOOKUP(B12,'Format-Blr'!$B$7:$B$44,'Format-Blr'!BN$7:BN$44)</f>
        <v>0</v>
      </c>
      <c r="W12" s="45">
        <f>_xlfn.XLOOKUP(B12,'Format-Blr'!$B$7:$B$44,'Format-Blr'!BT$7:BT$44)</f>
        <v>0</v>
      </c>
      <c r="X12" s="45">
        <f>_xlfn.XLOOKUP(B12,'Format-Blr'!$B$7:$B$44,'Format-Blr'!BU$7:BU$44)</f>
        <v>0</v>
      </c>
      <c r="Y12" s="34">
        <f t="shared" si="1"/>
        <v>386</v>
      </c>
      <c r="Z12" s="34">
        <f t="shared" si="2"/>
        <v>349</v>
      </c>
      <c r="AA12" s="38">
        <f t="shared" si="3"/>
        <v>90.414507772020727</v>
      </c>
      <c r="AB12" s="44">
        <f>_xlfn.XLOOKUP(B12,'Format-Blr'!$B$51:$B$88,'Format-Blr'!I$51:I$88)</f>
        <v>0</v>
      </c>
      <c r="AC12" s="45">
        <f>_xlfn.XLOOKUP(B12,'Format-Blr'!$B$51:$B$88,'Format-Blr'!J$51:J$88)</f>
        <v>0</v>
      </c>
      <c r="AD12" s="45">
        <f>_xlfn.XLOOKUP(B12,'Format-Blr'!$B$51:$B$88,'Format-Blr'!P$51:P$88)</f>
        <v>33</v>
      </c>
      <c r="AE12" s="45">
        <f>_xlfn.XLOOKUP(B12,'Format-Blr'!$B$51:$B$88,'Format-Blr'!Q$51:Q$88)</f>
        <v>13</v>
      </c>
      <c r="AF12" s="45">
        <f>_xlfn.XLOOKUP(B12,'Format-Blr'!$B$51:$B$88,'Format-Blr'!W$51:W$88)</f>
        <v>126</v>
      </c>
      <c r="AG12" s="45">
        <f>_xlfn.XLOOKUP(B12,'Format-Blr'!$B$51:$B$88,'Format-Blr'!X$51:X$88)</f>
        <v>28</v>
      </c>
      <c r="AH12" s="45">
        <f>_xlfn.XLOOKUP(B12,'Format-Blr'!$B$51:$B$88,'Format-Blr'!AD$51:AD$88)</f>
        <v>0</v>
      </c>
      <c r="AI12" s="45">
        <f>_xlfn.XLOOKUP(B12,'Format-Blr'!$B$51:$B$88,'Format-Blr'!AE$51:AE$88)</f>
        <v>0</v>
      </c>
      <c r="AJ12" s="45">
        <f>_xlfn.XLOOKUP(B12,'Format-Blr'!$B$51:$B$88,'Format-Blr'!AK$51:AK$88)</f>
        <v>60</v>
      </c>
      <c r="AK12" s="45">
        <f>_xlfn.XLOOKUP(B12,'Format-Blr'!$B$51:$B$88,'Format-Blr'!AL$51:AL$88)</f>
        <v>21</v>
      </c>
      <c r="AL12" s="45">
        <f>_xlfn.XLOOKUP(B12,'Format-Blr'!$B$51:$B$88,'Format-Blr'!AR$51:AR$88)</f>
        <v>99</v>
      </c>
      <c r="AM12" s="45">
        <f>_xlfn.XLOOKUP(B12,'Format-Blr'!$B$51:$B$88,'Format-Blr'!AS$51:AS$88)</f>
        <v>38</v>
      </c>
      <c r="AN12" s="45">
        <f>_xlfn.XLOOKUP(B12,'Format-Blr'!$B$51:$B$88,'Format-Blr'!AY$51:AY$88)</f>
        <v>0</v>
      </c>
      <c r="AO12" s="45">
        <f>_xlfn.XLOOKUP(B12,'Format-Blr'!$B$51:$B$88,'Format-Blr'!AZ$51:AZ$88)</f>
        <v>0</v>
      </c>
      <c r="AP12" s="45">
        <f>_xlfn.XLOOKUP(B12,'Format-Blr'!$B$51:$B$88,'Format-Blr'!BF$51:BF$88)</f>
        <v>30</v>
      </c>
      <c r="AQ12" s="45">
        <f>_xlfn.XLOOKUP(B12,'Format-Blr'!$B$51:$B$88,'Format-Blr'!BG$51:BG$88)</f>
        <v>8</v>
      </c>
      <c r="AR12" s="45">
        <f>_xlfn.XLOOKUP(B12,'Format-Blr'!$B$51:$B$88,'Format-Blr'!BM$51:BM$88)</f>
        <v>0</v>
      </c>
      <c r="AS12" s="45">
        <f>_xlfn.XLOOKUP(B12,'Format-Blr'!$B$51:$B$88,'Format-Blr'!BN$51:BN$88)</f>
        <v>0</v>
      </c>
      <c r="AT12" s="45">
        <f>_xlfn.XLOOKUP(B12,'Format-Blr'!$B$51:$B$88,'Format-Blr'!BT$51:BT$88)</f>
        <v>32</v>
      </c>
      <c r="AU12" s="45">
        <f>_xlfn.XLOOKUP(B12,'Format-Blr'!$B$51:$B$88,'Format-Blr'!BU$51:BU$88)</f>
        <v>10</v>
      </c>
      <c r="AV12" s="34">
        <f t="shared" si="4"/>
        <v>380</v>
      </c>
      <c r="AW12" s="34">
        <f t="shared" si="5"/>
        <v>118</v>
      </c>
      <c r="AX12" s="38">
        <f t="shared" si="6"/>
        <v>31.05263157894737</v>
      </c>
      <c r="AY12" s="37">
        <f>_xlfn.XLOOKUP(B12,'Format-Blr'!B$51:B$88,'Format-Blr'!CF$51:CF$88)</f>
        <v>0</v>
      </c>
      <c r="AZ12" s="34">
        <f>_xlfn.XLOOKUP(B12,'Format-Blr'!B$51:B$88,'Format-Blr'!CG$51:CG$88)</f>
        <v>0</v>
      </c>
      <c r="BA12" s="35" t="e">
        <f t="shared" si="7"/>
        <v>#DIV/0!</v>
      </c>
      <c r="BB12" s="37">
        <f>_xlfn.XLOOKUP(B12,'Format-Blr'!$B$7:$B$44,'Format-Blr'!CF$7:CF$44)</f>
        <v>0</v>
      </c>
      <c r="BC12" s="34">
        <f>_xlfn.XLOOKUP(B12,'Format-Blr'!$B$7:$B$44,'Format-Blr'!CG$7:CG$44)</f>
        <v>0</v>
      </c>
      <c r="BD12" s="34">
        <f>_xlfn.XLOOKUP(B12,'Format-Blr'!$B$7:$B$44,'Format-Blr'!CI$7:CI$44)</f>
        <v>0</v>
      </c>
      <c r="BE12" s="34">
        <f>_xlfn.XLOOKUP(B12,'Format-Blr'!$B$7:$B$44,'Format-Blr'!CJ$7:CJ$44)</f>
        <v>0</v>
      </c>
      <c r="BF12" s="34">
        <f>_xlfn.XLOOKUP(B12,'Format-Blr'!$B$7:$B$44,'Format-Blr'!CL$7:CL$44)</f>
        <v>0</v>
      </c>
      <c r="BG12" s="34">
        <f>_xlfn.XLOOKUP(B12,'Format-Blr'!$B$7:$B$44,'Format-Blr'!CM$7:CM$44)</f>
        <v>0</v>
      </c>
      <c r="BH12" s="34">
        <f>_xlfn.XLOOKUP(B12,'Format-Blr'!$B$7:$B$44,'Format-Blr'!CO$7:CO$44)</f>
        <v>0</v>
      </c>
      <c r="BI12" s="52">
        <f>_xlfn.XLOOKUP(B12,'Format-Blr'!$B$7:$B$44,'Format-Blr'!CP$7:CP$44)</f>
        <v>0</v>
      </c>
      <c r="BJ12" s="37">
        <f t="shared" si="13"/>
        <v>0</v>
      </c>
      <c r="BK12" s="34">
        <f t="shared" si="8"/>
        <v>0</v>
      </c>
      <c r="BL12" s="38" t="e">
        <f t="shared" si="9"/>
        <v>#DIV/0!</v>
      </c>
      <c r="BN12" s="37">
        <f t="shared" si="10"/>
        <v>766</v>
      </c>
      <c r="BO12" s="34">
        <f t="shared" si="11"/>
        <v>467</v>
      </c>
      <c r="BP12" s="38">
        <f t="shared" si="12"/>
        <v>60.966057441253263</v>
      </c>
    </row>
    <row r="13" spans="1:68" s="9" customFormat="1" ht="21" customHeight="1" x14ac:dyDescent="0.25">
      <c r="A13" s="46" t="s">
        <v>23</v>
      </c>
      <c r="B13" s="55" t="s">
        <v>60</v>
      </c>
      <c r="C13" s="48" t="s">
        <v>56</v>
      </c>
      <c r="D13" s="49" t="s">
        <v>16</v>
      </c>
      <c r="E13" s="44">
        <f>_xlfn.XLOOKUP(B13,'Format-Blr'!$B$7:$B$44,'Format-Blr'!I$7:I$44)</f>
        <v>0</v>
      </c>
      <c r="F13" s="45">
        <f>_xlfn.XLOOKUP(B13,'Format-Blr'!$B$7:$B$44,'Format-Blr'!J$7:J$44)</f>
        <v>0</v>
      </c>
      <c r="G13" s="45">
        <f>_xlfn.XLOOKUP(B13,'Format-Blr'!$B$7:$B$44,'Format-Blr'!P$7:P$44)</f>
        <v>0</v>
      </c>
      <c r="H13" s="45">
        <f>_xlfn.XLOOKUP(B13,'Format-Blr'!$B$7:$B$44,'Format-Blr'!Q$7:Q$44)</f>
        <v>0</v>
      </c>
      <c r="I13" s="45">
        <f>_xlfn.XLOOKUP(B13,'Format-Blr'!$B$7:$B$44,'Format-Blr'!W$7:W$44)</f>
        <v>0</v>
      </c>
      <c r="J13" s="45">
        <f>_xlfn.XLOOKUP(B13,'Format-Blr'!$B$7:$B$44,'Format-Blr'!X$7:X$44)</f>
        <v>0</v>
      </c>
      <c r="K13" s="45">
        <f>_xlfn.XLOOKUP(B13,'Format-Blr'!$B$7:$B$44,'Format-Blr'!AD$7:AD$44)</f>
        <v>0</v>
      </c>
      <c r="L13" s="45">
        <f>_xlfn.XLOOKUP(B13,'Format-Blr'!$B$7:$B$44,'Format-Blr'!AE$7:AE$44)</f>
        <v>0</v>
      </c>
      <c r="M13" s="45">
        <f>_xlfn.XLOOKUP(B13,'Format-Blr'!$B$7:$B$44,'Format-Blr'!AK$7:AK$44)</f>
        <v>0</v>
      </c>
      <c r="N13" s="45">
        <f>_xlfn.XLOOKUP(B13,'Format-Blr'!$B$7:$B$44,'Format-Blr'!AL$7:AL$44)</f>
        <v>0</v>
      </c>
      <c r="O13" s="45">
        <f>_xlfn.XLOOKUP(B13,'Format-Blr'!$B$7:$B$44,'Format-Blr'!AR$7:AR$44)</f>
        <v>0</v>
      </c>
      <c r="P13" s="45">
        <f>_xlfn.XLOOKUP(B13,'Format-Blr'!$B$7:$B$44,'Format-Blr'!AS$7:AS$44)</f>
        <v>0</v>
      </c>
      <c r="Q13" s="45">
        <f>_xlfn.XLOOKUP(B13,'Format-Blr'!$B$7:$B$44,'Format-Blr'!AY$7:AY$44)</f>
        <v>71</v>
      </c>
      <c r="R13" s="45">
        <f>_xlfn.XLOOKUP(B13,'Format-Blr'!$B$7:$B$44,'Format-Blr'!AZ$7:AZ$44)</f>
        <v>69</v>
      </c>
      <c r="S13" s="45">
        <f>_xlfn.XLOOKUP(B13,'Format-Blr'!$B$7:$B$44,'Format-Blr'!BF$7:BF$44)</f>
        <v>0</v>
      </c>
      <c r="T13" s="45">
        <f>_xlfn.XLOOKUP(B13,'Format-Blr'!$B$7:$B$44,'Format-Blr'!BG$7:BG$44)</f>
        <v>0</v>
      </c>
      <c r="U13" s="45">
        <f>_xlfn.XLOOKUP(B13,'Format-Blr'!$B$7:$B$44,'Format-Blr'!BM$7:BM$44)</f>
        <v>0</v>
      </c>
      <c r="V13" s="45">
        <f>_xlfn.XLOOKUP(B13,'Format-Blr'!$B$7:$B$44,'Format-Blr'!BN$7:BN$44)</f>
        <v>0</v>
      </c>
      <c r="W13" s="45">
        <f>_xlfn.XLOOKUP(B13,'Format-Blr'!$B$7:$B$44,'Format-Blr'!BT$7:BT$44)</f>
        <v>0</v>
      </c>
      <c r="X13" s="45">
        <f>_xlfn.XLOOKUP(B13,'Format-Blr'!$B$7:$B$44,'Format-Blr'!BU$7:BU$44)</f>
        <v>0</v>
      </c>
      <c r="Y13" s="34">
        <f t="shared" si="1"/>
        <v>71</v>
      </c>
      <c r="Z13" s="34">
        <f t="shared" si="2"/>
        <v>69</v>
      </c>
      <c r="AA13" s="38">
        <f t="shared" si="3"/>
        <v>97.183098591549296</v>
      </c>
      <c r="AB13" s="44">
        <f>_xlfn.XLOOKUP(B13,'Format-Blr'!$B$51:$B$88,'Format-Blr'!I$51:I$88)</f>
        <v>0</v>
      </c>
      <c r="AC13" s="45">
        <f>_xlfn.XLOOKUP(B13,'Format-Blr'!$B$51:$B$88,'Format-Blr'!J$51:J$88)</f>
        <v>0</v>
      </c>
      <c r="AD13" s="45">
        <f>_xlfn.XLOOKUP(B13,'Format-Blr'!$B$51:$B$88,'Format-Blr'!P$51:P$88)</f>
        <v>0</v>
      </c>
      <c r="AE13" s="45">
        <f>_xlfn.XLOOKUP(B13,'Format-Blr'!$B$51:$B$88,'Format-Blr'!Q$51:Q$88)</f>
        <v>0</v>
      </c>
      <c r="AF13" s="45">
        <f>_xlfn.XLOOKUP(B13,'Format-Blr'!$B$51:$B$88,'Format-Blr'!W$51:W$88)</f>
        <v>0</v>
      </c>
      <c r="AG13" s="45">
        <f>_xlfn.XLOOKUP(B13,'Format-Blr'!$B$51:$B$88,'Format-Blr'!X$51:X$88)</f>
        <v>0</v>
      </c>
      <c r="AH13" s="45">
        <f>_xlfn.XLOOKUP(B13,'Format-Blr'!$B$51:$B$88,'Format-Blr'!AD$51:AD$88)</f>
        <v>0</v>
      </c>
      <c r="AI13" s="45">
        <f>_xlfn.XLOOKUP(B13,'Format-Blr'!$B$51:$B$88,'Format-Blr'!AE$51:AE$88)</f>
        <v>0</v>
      </c>
      <c r="AJ13" s="45">
        <f>_xlfn.XLOOKUP(B13,'Format-Blr'!$B$51:$B$88,'Format-Blr'!AK$51:AK$88)</f>
        <v>0</v>
      </c>
      <c r="AK13" s="45">
        <f>_xlfn.XLOOKUP(B13,'Format-Blr'!$B$51:$B$88,'Format-Blr'!AL$51:AL$88)</f>
        <v>0</v>
      </c>
      <c r="AL13" s="45">
        <f>_xlfn.XLOOKUP(B13,'Format-Blr'!$B$51:$B$88,'Format-Blr'!AR$51:AR$88)</f>
        <v>0</v>
      </c>
      <c r="AM13" s="45">
        <f>_xlfn.XLOOKUP(B13,'Format-Blr'!$B$51:$B$88,'Format-Blr'!AS$51:AS$88)</f>
        <v>0</v>
      </c>
      <c r="AN13" s="45">
        <f>_xlfn.XLOOKUP(B13,'Format-Blr'!$B$51:$B$88,'Format-Blr'!AY$51:AY$88)</f>
        <v>231</v>
      </c>
      <c r="AO13" s="45">
        <f>_xlfn.XLOOKUP(B13,'Format-Blr'!$B$51:$B$88,'Format-Blr'!AZ$51:AZ$88)</f>
        <v>137</v>
      </c>
      <c r="AP13" s="45">
        <f>_xlfn.XLOOKUP(B13,'Format-Blr'!$B$51:$B$88,'Format-Blr'!BF$51:BF$88)</f>
        <v>0</v>
      </c>
      <c r="AQ13" s="45">
        <f>_xlfn.XLOOKUP(B13,'Format-Blr'!$B$51:$B$88,'Format-Blr'!BG$51:BG$88)</f>
        <v>0</v>
      </c>
      <c r="AR13" s="45">
        <f>_xlfn.XLOOKUP(B13,'Format-Blr'!$B$51:$B$88,'Format-Blr'!BM$51:BM$88)</f>
        <v>0</v>
      </c>
      <c r="AS13" s="45">
        <f>_xlfn.XLOOKUP(B13,'Format-Blr'!$B$51:$B$88,'Format-Blr'!BN$51:BN$88)</f>
        <v>0</v>
      </c>
      <c r="AT13" s="45">
        <f>_xlfn.XLOOKUP(B13,'Format-Blr'!$B$51:$B$88,'Format-Blr'!BT$51:BT$88)</f>
        <v>0</v>
      </c>
      <c r="AU13" s="45">
        <f>_xlfn.XLOOKUP(B13,'Format-Blr'!$B$51:$B$88,'Format-Blr'!BU$51:BU$88)</f>
        <v>0</v>
      </c>
      <c r="AV13" s="34">
        <f t="shared" si="4"/>
        <v>231</v>
      </c>
      <c r="AW13" s="34">
        <f t="shared" si="5"/>
        <v>137</v>
      </c>
      <c r="AX13" s="38">
        <f t="shared" si="6"/>
        <v>59.307359307359306</v>
      </c>
      <c r="AY13" s="37">
        <f>_xlfn.XLOOKUP(B13,'Format-Blr'!B$51:B$88,'Format-Blr'!CF$51:CF$88)</f>
        <v>0</v>
      </c>
      <c r="AZ13" s="34">
        <f>_xlfn.XLOOKUP(B13,'Format-Blr'!B$51:B$88,'Format-Blr'!CG$51:CG$88)</f>
        <v>0</v>
      </c>
      <c r="BA13" s="35" t="e">
        <f t="shared" si="7"/>
        <v>#DIV/0!</v>
      </c>
      <c r="BB13" s="37">
        <f>_xlfn.XLOOKUP(B13,'Format-Blr'!$B$7:$B$44,'Format-Blr'!CF$7:CF$44)</f>
        <v>0</v>
      </c>
      <c r="BC13" s="34">
        <f>_xlfn.XLOOKUP(B13,'Format-Blr'!$B$7:$B$44,'Format-Blr'!CG$7:CG$44)</f>
        <v>0</v>
      </c>
      <c r="BD13" s="34">
        <f>_xlfn.XLOOKUP(B13,'Format-Blr'!$B$7:$B$44,'Format-Blr'!CI$7:CI$44)</f>
        <v>0</v>
      </c>
      <c r="BE13" s="34">
        <f>_xlfn.XLOOKUP(B13,'Format-Blr'!$B$7:$B$44,'Format-Blr'!CJ$7:CJ$44)</f>
        <v>0</v>
      </c>
      <c r="BF13" s="34">
        <f>_xlfn.XLOOKUP(B13,'Format-Blr'!$B$7:$B$44,'Format-Blr'!CL$7:CL$44)</f>
        <v>0</v>
      </c>
      <c r="BG13" s="34">
        <f>_xlfn.XLOOKUP(B13,'Format-Blr'!$B$7:$B$44,'Format-Blr'!CM$7:CM$44)</f>
        <v>0</v>
      </c>
      <c r="BH13" s="34">
        <f>_xlfn.XLOOKUP(B13,'Format-Blr'!$B$7:$B$44,'Format-Blr'!CO$7:CO$44)</f>
        <v>0</v>
      </c>
      <c r="BI13" s="52">
        <f>_xlfn.XLOOKUP(B13,'Format-Blr'!$B$7:$B$44,'Format-Blr'!CP$7:CP$44)</f>
        <v>0</v>
      </c>
      <c r="BJ13" s="37">
        <f t="shared" si="13"/>
        <v>0</v>
      </c>
      <c r="BK13" s="34">
        <f t="shared" si="8"/>
        <v>0</v>
      </c>
      <c r="BL13" s="38" t="e">
        <f t="shared" si="9"/>
        <v>#DIV/0!</v>
      </c>
      <c r="BN13" s="37">
        <f t="shared" si="10"/>
        <v>302</v>
      </c>
      <c r="BO13" s="34">
        <f t="shared" si="11"/>
        <v>206</v>
      </c>
      <c r="BP13" s="38">
        <f t="shared" si="12"/>
        <v>68.211920529801333</v>
      </c>
    </row>
    <row r="14" spans="1:68" s="9" customFormat="1" ht="21" customHeight="1" x14ac:dyDescent="0.25">
      <c r="A14" s="46" t="s">
        <v>23</v>
      </c>
      <c r="B14" s="55" t="s">
        <v>52</v>
      </c>
      <c r="C14" s="50" t="s">
        <v>15</v>
      </c>
      <c r="D14" s="49" t="s">
        <v>16</v>
      </c>
      <c r="E14" s="44">
        <f>_xlfn.XLOOKUP(B14,'Format-Blr'!$B$7:$B$44,'Format-Blr'!I$7:I$44)</f>
        <v>0</v>
      </c>
      <c r="F14" s="45">
        <f>_xlfn.XLOOKUP(B14,'Format-Blr'!$B$7:$B$44,'Format-Blr'!J$7:J$44)</f>
        <v>0</v>
      </c>
      <c r="G14" s="45">
        <f>_xlfn.XLOOKUP(B14,'Format-Blr'!$B$7:$B$44,'Format-Blr'!P$7:P$44)</f>
        <v>0</v>
      </c>
      <c r="H14" s="45">
        <f>_xlfn.XLOOKUP(B14,'Format-Blr'!$B$7:$B$44,'Format-Blr'!Q$7:Q$44)</f>
        <v>0</v>
      </c>
      <c r="I14" s="45">
        <f>_xlfn.XLOOKUP(B14,'Format-Blr'!$B$7:$B$44,'Format-Blr'!W$7:W$44)</f>
        <v>0</v>
      </c>
      <c r="J14" s="45">
        <f>_xlfn.XLOOKUP(B14,'Format-Blr'!$B$7:$B$44,'Format-Blr'!X$7:X$44)</f>
        <v>0</v>
      </c>
      <c r="K14" s="45">
        <f>_xlfn.XLOOKUP(B14,'Format-Blr'!$B$7:$B$44,'Format-Blr'!AD$7:AD$44)</f>
        <v>0</v>
      </c>
      <c r="L14" s="45">
        <f>_xlfn.XLOOKUP(B14,'Format-Blr'!$B$7:$B$44,'Format-Blr'!AE$7:AE$44)</f>
        <v>0</v>
      </c>
      <c r="M14" s="45">
        <f>_xlfn.XLOOKUP(B14,'Format-Blr'!$B$7:$B$44,'Format-Blr'!AK$7:AK$44)</f>
        <v>82</v>
      </c>
      <c r="N14" s="45">
        <f>_xlfn.XLOOKUP(B14,'Format-Blr'!$B$7:$B$44,'Format-Blr'!AL$7:AL$44)</f>
        <v>71</v>
      </c>
      <c r="O14" s="45">
        <f>_xlfn.XLOOKUP(B14,'Format-Blr'!$B$7:$B$44,'Format-Blr'!AR$7:AR$44)</f>
        <v>0</v>
      </c>
      <c r="P14" s="45">
        <f>_xlfn.XLOOKUP(B14,'Format-Blr'!$B$7:$B$44,'Format-Blr'!AS$7:AS$44)</f>
        <v>0</v>
      </c>
      <c r="Q14" s="45">
        <f>_xlfn.XLOOKUP(B14,'Format-Blr'!$B$7:$B$44,'Format-Blr'!AY$7:AY$44)</f>
        <v>0</v>
      </c>
      <c r="R14" s="45">
        <f>_xlfn.XLOOKUP(B14,'Format-Blr'!$B$7:$B$44,'Format-Blr'!AZ$7:AZ$44)</f>
        <v>0</v>
      </c>
      <c r="S14" s="45">
        <f>_xlfn.XLOOKUP(B14,'Format-Blr'!$B$7:$B$44,'Format-Blr'!BF$7:BF$44)</f>
        <v>39</v>
      </c>
      <c r="T14" s="45">
        <f>_xlfn.XLOOKUP(B14,'Format-Blr'!$B$7:$B$44,'Format-Blr'!BG$7:BG$44)</f>
        <v>26</v>
      </c>
      <c r="U14" s="45">
        <f>_xlfn.XLOOKUP(B14,'Format-Blr'!$B$7:$B$44,'Format-Blr'!BM$7:BM$44)</f>
        <v>0</v>
      </c>
      <c r="V14" s="45">
        <f>_xlfn.XLOOKUP(B14,'Format-Blr'!$B$7:$B$44,'Format-Blr'!BN$7:BN$44)</f>
        <v>0</v>
      </c>
      <c r="W14" s="45">
        <f>_xlfn.XLOOKUP(B14,'Format-Blr'!$B$7:$B$44,'Format-Blr'!BT$7:BT$44)</f>
        <v>0</v>
      </c>
      <c r="X14" s="45">
        <f>_xlfn.XLOOKUP(B14,'Format-Blr'!$B$7:$B$44,'Format-Blr'!BU$7:BU$44)</f>
        <v>0</v>
      </c>
      <c r="Y14" s="34">
        <f t="shared" si="1"/>
        <v>121</v>
      </c>
      <c r="Z14" s="34">
        <f t="shared" si="2"/>
        <v>97</v>
      </c>
      <c r="AA14" s="38">
        <f t="shared" si="3"/>
        <v>80.165289256198349</v>
      </c>
      <c r="AB14" s="44">
        <f>_xlfn.XLOOKUP(B14,'Format-Blr'!$B$51:$B$88,'Format-Blr'!I$51:I$88)</f>
        <v>0</v>
      </c>
      <c r="AC14" s="45">
        <f>_xlfn.XLOOKUP(B14,'Format-Blr'!$B$51:$B$88,'Format-Blr'!J$51:J$88)</f>
        <v>0</v>
      </c>
      <c r="AD14" s="45">
        <f>_xlfn.XLOOKUP(B14,'Format-Blr'!$B$51:$B$88,'Format-Blr'!P$51:P$88)</f>
        <v>0</v>
      </c>
      <c r="AE14" s="45">
        <f>_xlfn.XLOOKUP(B14,'Format-Blr'!$B$51:$B$88,'Format-Blr'!Q$51:Q$88)</f>
        <v>0</v>
      </c>
      <c r="AF14" s="45">
        <f>_xlfn.XLOOKUP(B14,'Format-Blr'!$B$51:$B$88,'Format-Blr'!W$51:W$88)</f>
        <v>0</v>
      </c>
      <c r="AG14" s="45">
        <f>_xlfn.XLOOKUP(B14,'Format-Blr'!$B$51:$B$88,'Format-Blr'!X$51:X$88)</f>
        <v>0</v>
      </c>
      <c r="AH14" s="45">
        <f>_xlfn.XLOOKUP(B14,'Format-Blr'!$B$51:$B$88,'Format-Blr'!AD$51:AD$88)</f>
        <v>0</v>
      </c>
      <c r="AI14" s="45">
        <f>_xlfn.XLOOKUP(B14,'Format-Blr'!$B$51:$B$88,'Format-Blr'!AE$51:AE$88)</f>
        <v>0</v>
      </c>
      <c r="AJ14" s="45">
        <f>_xlfn.XLOOKUP(B14,'Format-Blr'!$B$51:$B$88,'Format-Blr'!AK$51:AK$88)</f>
        <v>0</v>
      </c>
      <c r="AK14" s="45">
        <f>_xlfn.XLOOKUP(B14,'Format-Blr'!$B$51:$B$88,'Format-Blr'!AL$51:AL$88)</f>
        <v>0</v>
      </c>
      <c r="AL14" s="45">
        <f>_xlfn.XLOOKUP(B14,'Format-Blr'!$B$51:$B$88,'Format-Blr'!AR$51:AR$88)</f>
        <v>71</v>
      </c>
      <c r="AM14" s="45">
        <f>_xlfn.XLOOKUP(B14,'Format-Blr'!$B$51:$B$88,'Format-Blr'!AS$51:AS$88)</f>
        <v>10</v>
      </c>
      <c r="AN14" s="45">
        <f>_xlfn.XLOOKUP(B14,'Format-Blr'!$B$51:$B$88,'Format-Blr'!AY$51:AY$88)</f>
        <v>0</v>
      </c>
      <c r="AO14" s="45">
        <f>_xlfn.XLOOKUP(B14,'Format-Blr'!$B$51:$B$88,'Format-Blr'!AZ$51:AZ$88)</f>
        <v>0</v>
      </c>
      <c r="AP14" s="45">
        <f>_xlfn.XLOOKUP(B14,'Format-Blr'!$B$51:$B$88,'Format-Blr'!BF$51:BF$88)</f>
        <v>0</v>
      </c>
      <c r="AQ14" s="45">
        <f>_xlfn.XLOOKUP(B14,'Format-Blr'!$B$51:$B$88,'Format-Blr'!BG$51:BG$88)</f>
        <v>0</v>
      </c>
      <c r="AR14" s="45">
        <f>_xlfn.XLOOKUP(B14,'Format-Blr'!$B$51:$B$88,'Format-Blr'!BM$51:BM$88)</f>
        <v>0</v>
      </c>
      <c r="AS14" s="45">
        <f>_xlfn.XLOOKUP(B14,'Format-Blr'!$B$51:$B$88,'Format-Blr'!BN$51:BN$88)</f>
        <v>0</v>
      </c>
      <c r="AT14" s="45">
        <f>_xlfn.XLOOKUP(B14,'Format-Blr'!$B$51:$B$88,'Format-Blr'!BT$51:BT$88)</f>
        <v>0</v>
      </c>
      <c r="AU14" s="45">
        <f>_xlfn.XLOOKUP(B14,'Format-Blr'!$B$51:$B$88,'Format-Blr'!BU$51:BU$88)</f>
        <v>0</v>
      </c>
      <c r="AV14" s="34">
        <f t="shared" si="4"/>
        <v>71</v>
      </c>
      <c r="AW14" s="34">
        <f t="shared" si="5"/>
        <v>10</v>
      </c>
      <c r="AX14" s="38">
        <f t="shared" si="6"/>
        <v>14.084507042253522</v>
      </c>
      <c r="AY14" s="37">
        <f>_xlfn.XLOOKUP(B14,'Format-Blr'!B$51:B$88,'Format-Blr'!CF$51:CF$88)</f>
        <v>0</v>
      </c>
      <c r="AZ14" s="34">
        <f>_xlfn.XLOOKUP(B14,'Format-Blr'!B$51:B$88,'Format-Blr'!CG$51:CG$88)</f>
        <v>0</v>
      </c>
      <c r="BA14" s="35" t="e">
        <f t="shared" si="7"/>
        <v>#DIV/0!</v>
      </c>
      <c r="BB14" s="37">
        <f>_xlfn.XLOOKUP(B14,'Format-Blr'!$B$7:$B$44,'Format-Blr'!CF$7:CF$44)</f>
        <v>0</v>
      </c>
      <c r="BC14" s="34">
        <f>_xlfn.XLOOKUP(B14,'Format-Blr'!$B$7:$B$44,'Format-Blr'!CG$7:CG$44)</f>
        <v>0</v>
      </c>
      <c r="BD14" s="34">
        <f>_xlfn.XLOOKUP(B14,'Format-Blr'!$B$7:$B$44,'Format-Blr'!CI$7:CI$44)</f>
        <v>0</v>
      </c>
      <c r="BE14" s="34">
        <f>_xlfn.XLOOKUP(B14,'Format-Blr'!$B$7:$B$44,'Format-Blr'!CJ$7:CJ$44)</f>
        <v>0</v>
      </c>
      <c r="BF14" s="34">
        <f>_xlfn.XLOOKUP(B14,'Format-Blr'!$B$7:$B$44,'Format-Blr'!CL$7:CL$44)</f>
        <v>0</v>
      </c>
      <c r="BG14" s="34">
        <f>_xlfn.XLOOKUP(B14,'Format-Blr'!$B$7:$B$44,'Format-Blr'!CM$7:CM$44)</f>
        <v>0</v>
      </c>
      <c r="BH14" s="34">
        <f>_xlfn.XLOOKUP(B14,'Format-Blr'!$B$7:$B$44,'Format-Blr'!CO$7:CO$44)</f>
        <v>0</v>
      </c>
      <c r="BI14" s="52">
        <f>_xlfn.XLOOKUP(B14,'Format-Blr'!$B$7:$B$44,'Format-Blr'!CP$7:CP$44)</f>
        <v>0</v>
      </c>
      <c r="BJ14" s="37">
        <f t="shared" si="13"/>
        <v>0</v>
      </c>
      <c r="BK14" s="34">
        <f t="shared" si="8"/>
        <v>0</v>
      </c>
      <c r="BL14" s="38" t="e">
        <f t="shared" si="9"/>
        <v>#DIV/0!</v>
      </c>
      <c r="BN14" s="37">
        <f t="shared" si="10"/>
        <v>192</v>
      </c>
      <c r="BO14" s="34">
        <f t="shared" si="11"/>
        <v>107</v>
      </c>
      <c r="BP14" s="38">
        <f t="shared" si="12"/>
        <v>55.729166666666664</v>
      </c>
    </row>
    <row r="15" spans="1:68" s="9" customFormat="1" ht="21" customHeight="1" x14ac:dyDescent="0.25">
      <c r="A15" s="46" t="s">
        <v>23</v>
      </c>
      <c r="B15" s="47" t="s">
        <v>20</v>
      </c>
      <c r="C15" s="48" t="s">
        <v>15</v>
      </c>
      <c r="D15" s="49" t="s">
        <v>16</v>
      </c>
      <c r="E15" s="44">
        <f>_xlfn.XLOOKUP(B15,'Format-Blr'!$B$7:$B$44,'Format-Blr'!I$7:I$44)</f>
        <v>0</v>
      </c>
      <c r="F15" s="45">
        <f>_xlfn.XLOOKUP(B15,'Format-Blr'!$B$7:$B$44,'Format-Blr'!J$7:J$44)</f>
        <v>0</v>
      </c>
      <c r="G15" s="45">
        <f>_xlfn.XLOOKUP(B15,'Format-Blr'!$B$7:$B$44,'Format-Blr'!P$7:P$44)</f>
        <v>0</v>
      </c>
      <c r="H15" s="45">
        <f>_xlfn.XLOOKUP(B15,'Format-Blr'!$B$7:$B$44,'Format-Blr'!Q$7:Q$44)</f>
        <v>0</v>
      </c>
      <c r="I15" s="45">
        <f>_xlfn.XLOOKUP(B15,'Format-Blr'!$B$7:$B$44,'Format-Blr'!W$7:W$44)</f>
        <v>46</v>
      </c>
      <c r="J15" s="45">
        <f>_xlfn.XLOOKUP(B15,'Format-Blr'!$B$7:$B$44,'Format-Blr'!X$7:X$44)</f>
        <v>43</v>
      </c>
      <c r="K15" s="45">
        <f>_xlfn.XLOOKUP(B15,'Format-Blr'!$B$7:$B$44,'Format-Blr'!AD$7:AD$44)</f>
        <v>0</v>
      </c>
      <c r="L15" s="45">
        <f>_xlfn.XLOOKUP(B15,'Format-Blr'!$B$7:$B$44,'Format-Blr'!AE$7:AE$44)</f>
        <v>0</v>
      </c>
      <c r="M15" s="45">
        <f>_xlfn.XLOOKUP(B15,'Format-Blr'!$B$7:$B$44,'Format-Blr'!AK$7:AK$44)</f>
        <v>35</v>
      </c>
      <c r="N15" s="45">
        <f>_xlfn.XLOOKUP(B15,'Format-Blr'!$B$7:$B$44,'Format-Blr'!AL$7:AL$44)</f>
        <v>32</v>
      </c>
      <c r="O15" s="45">
        <f>_xlfn.XLOOKUP(B15,'Format-Blr'!$B$7:$B$44,'Format-Blr'!AR$7:AR$44)</f>
        <v>261</v>
      </c>
      <c r="P15" s="45">
        <f>_xlfn.XLOOKUP(B15,'Format-Blr'!$B$7:$B$44,'Format-Blr'!AS$7:AS$44)</f>
        <v>243</v>
      </c>
      <c r="Q15" s="45">
        <f>_xlfn.XLOOKUP(B15,'Format-Blr'!$B$7:$B$44,'Format-Blr'!AY$7:AY$44)</f>
        <v>53</v>
      </c>
      <c r="R15" s="45">
        <f>_xlfn.XLOOKUP(B15,'Format-Blr'!$B$7:$B$44,'Format-Blr'!AZ$7:AZ$44)</f>
        <v>51</v>
      </c>
      <c r="S15" s="45">
        <f>_xlfn.XLOOKUP(B15,'Format-Blr'!$B$7:$B$44,'Format-Blr'!BF$7:BF$44)</f>
        <v>58</v>
      </c>
      <c r="T15" s="45">
        <f>_xlfn.XLOOKUP(B15,'Format-Blr'!$B$7:$B$44,'Format-Blr'!BG$7:BG$44)</f>
        <v>56</v>
      </c>
      <c r="U15" s="45">
        <f>_xlfn.XLOOKUP(B15,'Format-Blr'!$B$7:$B$44,'Format-Blr'!BM$7:BM$44)</f>
        <v>0</v>
      </c>
      <c r="V15" s="45">
        <f>_xlfn.XLOOKUP(B15,'Format-Blr'!$B$7:$B$44,'Format-Blr'!BN$7:BN$44)</f>
        <v>0</v>
      </c>
      <c r="W15" s="45">
        <f>_xlfn.XLOOKUP(B15,'Format-Blr'!$B$7:$B$44,'Format-Blr'!BT$7:BT$44)</f>
        <v>61</v>
      </c>
      <c r="X15" s="45">
        <f>_xlfn.XLOOKUP(B15,'Format-Blr'!$B$7:$B$44,'Format-Blr'!BU$7:BU$44)</f>
        <v>56</v>
      </c>
      <c r="Y15" s="34">
        <f t="shared" si="1"/>
        <v>514</v>
      </c>
      <c r="Z15" s="34">
        <f t="shared" si="2"/>
        <v>481</v>
      </c>
      <c r="AA15" s="38">
        <f t="shared" si="3"/>
        <v>93.579766536964982</v>
      </c>
      <c r="AB15" s="44">
        <f>_xlfn.XLOOKUP(B15,'Format-Blr'!$B$51:$B$88,'Format-Blr'!I$51:I$88)</f>
        <v>0</v>
      </c>
      <c r="AC15" s="45">
        <f>_xlfn.XLOOKUP(B15,'Format-Blr'!$B$51:$B$88,'Format-Blr'!J$51:J$88)</f>
        <v>0</v>
      </c>
      <c r="AD15" s="45">
        <f>_xlfn.XLOOKUP(B15,'Format-Blr'!$B$51:$B$88,'Format-Blr'!P$51:P$88)</f>
        <v>0</v>
      </c>
      <c r="AE15" s="45">
        <f>_xlfn.XLOOKUP(B15,'Format-Blr'!$B$51:$B$88,'Format-Blr'!Q$51:Q$88)</f>
        <v>0</v>
      </c>
      <c r="AF15" s="45">
        <f>_xlfn.XLOOKUP(B15,'Format-Blr'!$B$51:$B$88,'Format-Blr'!W$51:W$88)</f>
        <v>40</v>
      </c>
      <c r="AG15" s="45">
        <f>_xlfn.XLOOKUP(B15,'Format-Blr'!$B$51:$B$88,'Format-Blr'!X$51:X$88)</f>
        <v>19</v>
      </c>
      <c r="AH15" s="45">
        <f>_xlfn.XLOOKUP(B15,'Format-Blr'!$B$51:$B$88,'Format-Blr'!AD$51:AD$88)</f>
        <v>0</v>
      </c>
      <c r="AI15" s="45">
        <f>_xlfn.XLOOKUP(B15,'Format-Blr'!$B$51:$B$88,'Format-Blr'!AE$51:AE$88)</f>
        <v>0</v>
      </c>
      <c r="AJ15" s="45">
        <f>_xlfn.XLOOKUP(B15,'Format-Blr'!$B$51:$B$88,'Format-Blr'!AK$51:AK$88)</f>
        <v>40</v>
      </c>
      <c r="AK15" s="45">
        <f>_xlfn.XLOOKUP(B15,'Format-Blr'!$B$51:$B$88,'Format-Blr'!AL$51:AL$88)</f>
        <v>28</v>
      </c>
      <c r="AL15" s="45">
        <f>_xlfn.XLOOKUP(B15,'Format-Blr'!$B$51:$B$88,'Format-Blr'!AR$51:AR$88)</f>
        <v>229</v>
      </c>
      <c r="AM15" s="45">
        <f>_xlfn.XLOOKUP(B15,'Format-Blr'!$B$51:$B$88,'Format-Blr'!AS$51:AS$88)</f>
        <v>119</v>
      </c>
      <c r="AN15" s="45">
        <f>_xlfn.XLOOKUP(B15,'Format-Blr'!$B$51:$B$88,'Format-Blr'!AY$51:AY$88)</f>
        <v>60</v>
      </c>
      <c r="AO15" s="45">
        <f>_xlfn.XLOOKUP(B15,'Format-Blr'!$B$51:$B$88,'Format-Blr'!AZ$51:AZ$88)</f>
        <v>37</v>
      </c>
      <c r="AP15" s="45">
        <f>_xlfn.XLOOKUP(B15,'Format-Blr'!$B$51:$B$88,'Format-Blr'!BF$51:BF$88)</f>
        <v>63</v>
      </c>
      <c r="AQ15" s="45">
        <f>_xlfn.XLOOKUP(B15,'Format-Blr'!$B$51:$B$88,'Format-Blr'!BG$51:BG$88)</f>
        <v>34</v>
      </c>
      <c r="AR15" s="45">
        <f>_xlfn.XLOOKUP(B15,'Format-Blr'!$B$51:$B$88,'Format-Blr'!BM$51:BM$88)</f>
        <v>0</v>
      </c>
      <c r="AS15" s="45">
        <f>_xlfn.XLOOKUP(B15,'Format-Blr'!$B$51:$B$88,'Format-Blr'!BN$51:BN$88)</f>
        <v>0</v>
      </c>
      <c r="AT15" s="45">
        <f>_xlfn.XLOOKUP(B15,'Format-Blr'!$B$51:$B$88,'Format-Blr'!BT$51:BT$88)</f>
        <v>54</v>
      </c>
      <c r="AU15" s="45">
        <f>_xlfn.XLOOKUP(B15,'Format-Blr'!$B$51:$B$88,'Format-Blr'!BU$51:BU$88)</f>
        <v>38</v>
      </c>
      <c r="AV15" s="34">
        <f t="shared" si="4"/>
        <v>486</v>
      </c>
      <c r="AW15" s="34">
        <f t="shared" si="5"/>
        <v>275</v>
      </c>
      <c r="AX15" s="38">
        <f t="shared" si="6"/>
        <v>56.584362139917701</v>
      </c>
      <c r="AY15" s="37">
        <f>_xlfn.XLOOKUP(B15,'Format-Blr'!B$51:B$88,'Format-Blr'!CF$51:CF$88)</f>
        <v>0</v>
      </c>
      <c r="AZ15" s="34">
        <f>_xlfn.XLOOKUP(B15,'Format-Blr'!B$51:B$88,'Format-Blr'!CG$51:CG$88)</f>
        <v>0</v>
      </c>
      <c r="BA15" s="35" t="e">
        <f t="shared" si="7"/>
        <v>#DIV/0!</v>
      </c>
      <c r="BB15" s="37">
        <f>_xlfn.XLOOKUP(B15,'Format-Blr'!$B$7:$B$44,'Format-Blr'!CF$7:CF$44)</f>
        <v>0</v>
      </c>
      <c r="BC15" s="34">
        <f>_xlfn.XLOOKUP(B15,'Format-Blr'!$B$7:$B$44,'Format-Blr'!CG$7:CG$44)</f>
        <v>0</v>
      </c>
      <c r="BD15" s="34">
        <f>_xlfn.XLOOKUP(B15,'Format-Blr'!$B$7:$B$44,'Format-Blr'!CI$7:CI$44)</f>
        <v>0</v>
      </c>
      <c r="BE15" s="34">
        <f>_xlfn.XLOOKUP(B15,'Format-Blr'!$B$7:$B$44,'Format-Blr'!CJ$7:CJ$44)</f>
        <v>0</v>
      </c>
      <c r="BF15" s="34">
        <f>_xlfn.XLOOKUP(B15,'Format-Blr'!$B$7:$B$44,'Format-Blr'!CL$7:CL$44)</f>
        <v>0</v>
      </c>
      <c r="BG15" s="34">
        <f>_xlfn.XLOOKUP(B15,'Format-Blr'!$B$7:$B$44,'Format-Blr'!CM$7:CM$44)</f>
        <v>0</v>
      </c>
      <c r="BH15" s="34">
        <f>_xlfn.XLOOKUP(B15,'Format-Blr'!$B$7:$B$44,'Format-Blr'!CO$7:CO$44)</f>
        <v>0</v>
      </c>
      <c r="BI15" s="52">
        <f>_xlfn.XLOOKUP(B15,'Format-Blr'!$B$7:$B$44,'Format-Blr'!CP$7:CP$44)</f>
        <v>0</v>
      </c>
      <c r="BJ15" s="37">
        <f t="shared" si="13"/>
        <v>0</v>
      </c>
      <c r="BK15" s="34">
        <f t="shared" si="8"/>
        <v>0</v>
      </c>
      <c r="BL15" s="38" t="e">
        <f t="shared" si="9"/>
        <v>#DIV/0!</v>
      </c>
      <c r="BN15" s="37">
        <f t="shared" si="10"/>
        <v>1000</v>
      </c>
      <c r="BO15" s="34">
        <f t="shared" si="11"/>
        <v>756</v>
      </c>
      <c r="BP15" s="38">
        <f t="shared" si="12"/>
        <v>75.599999999999994</v>
      </c>
    </row>
    <row r="16" spans="1:68" s="9" customFormat="1" ht="21" customHeight="1" x14ac:dyDescent="0.25">
      <c r="A16" s="46" t="s">
        <v>23</v>
      </c>
      <c r="B16" s="47" t="s">
        <v>4</v>
      </c>
      <c r="C16" s="48" t="s">
        <v>15</v>
      </c>
      <c r="D16" s="49" t="s">
        <v>16</v>
      </c>
      <c r="E16" s="44">
        <f>_xlfn.XLOOKUP(B16,'Format-Blr'!$B$7:$B$44,'Format-Blr'!I$7:I$44)</f>
        <v>0</v>
      </c>
      <c r="F16" s="45">
        <f>_xlfn.XLOOKUP(B16,'Format-Blr'!$B$7:$B$44,'Format-Blr'!J$7:J$44)</f>
        <v>0</v>
      </c>
      <c r="G16" s="45">
        <f>_xlfn.XLOOKUP(B16,'Format-Blr'!$B$7:$B$44,'Format-Blr'!P$7:P$44)</f>
        <v>0</v>
      </c>
      <c r="H16" s="45">
        <f>_xlfn.XLOOKUP(B16,'Format-Blr'!$B$7:$B$44,'Format-Blr'!Q$7:Q$44)</f>
        <v>0</v>
      </c>
      <c r="I16" s="45">
        <f>_xlfn.XLOOKUP(B16,'Format-Blr'!$B$7:$B$44,'Format-Blr'!W$7:W$44)</f>
        <v>61</v>
      </c>
      <c r="J16" s="45">
        <f>_xlfn.XLOOKUP(B16,'Format-Blr'!$B$7:$B$44,'Format-Blr'!X$7:X$44)</f>
        <v>49</v>
      </c>
      <c r="K16" s="45">
        <f>_xlfn.XLOOKUP(B16,'Format-Blr'!$B$7:$B$44,'Format-Blr'!AD$7:AD$44)</f>
        <v>0</v>
      </c>
      <c r="L16" s="45">
        <f>_xlfn.XLOOKUP(B16,'Format-Blr'!$B$7:$B$44,'Format-Blr'!AE$7:AE$44)</f>
        <v>0</v>
      </c>
      <c r="M16" s="45">
        <f>_xlfn.XLOOKUP(B16,'Format-Blr'!$B$7:$B$44,'Format-Blr'!AK$7:AK$44)</f>
        <v>53</v>
      </c>
      <c r="N16" s="45">
        <f>_xlfn.XLOOKUP(B16,'Format-Blr'!$B$7:$B$44,'Format-Blr'!AL$7:AL$44)</f>
        <v>50</v>
      </c>
      <c r="O16" s="45">
        <f>_xlfn.XLOOKUP(B16,'Format-Blr'!$B$7:$B$44,'Format-Blr'!AR$7:AR$44)</f>
        <v>58</v>
      </c>
      <c r="P16" s="45">
        <f>_xlfn.XLOOKUP(B16,'Format-Blr'!$B$7:$B$44,'Format-Blr'!AS$7:AS$44)</f>
        <v>54</v>
      </c>
      <c r="Q16" s="45">
        <f>_xlfn.XLOOKUP(B16,'Format-Blr'!$B$7:$B$44,'Format-Blr'!AY$7:AY$44)</f>
        <v>54</v>
      </c>
      <c r="R16" s="45">
        <f>_xlfn.XLOOKUP(B16,'Format-Blr'!$B$7:$B$44,'Format-Blr'!AZ$7:AZ$44)</f>
        <v>50</v>
      </c>
      <c r="S16" s="45">
        <f>_xlfn.XLOOKUP(B16,'Format-Blr'!$B$7:$B$44,'Format-Blr'!BF$7:BF$44)</f>
        <v>0</v>
      </c>
      <c r="T16" s="45">
        <f>_xlfn.XLOOKUP(B16,'Format-Blr'!$B$7:$B$44,'Format-Blr'!BG$7:BG$44)</f>
        <v>0</v>
      </c>
      <c r="U16" s="45">
        <f>_xlfn.XLOOKUP(B16,'Format-Blr'!$B$7:$B$44,'Format-Blr'!BM$7:BM$44)</f>
        <v>0</v>
      </c>
      <c r="V16" s="45">
        <f>_xlfn.XLOOKUP(B16,'Format-Blr'!$B$7:$B$44,'Format-Blr'!BN$7:BN$44)</f>
        <v>0</v>
      </c>
      <c r="W16" s="45">
        <f>_xlfn.XLOOKUP(B16,'Format-Blr'!$B$7:$B$44,'Format-Blr'!BT$7:BT$44)</f>
        <v>0</v>
      </c>
      <c r="X16" s="45">
        <f>_xlfn.XLOOKUP(B16,'Format-Blr'!$B$7:$B$44,'Format-Blr'!BU$7:BU$44)</f>
        <v>0</v>
      </c>
      <c r="Y16" s="34">
        <f t="shared" si="1"/>
        <v>226</v>
      </c>
      <c r="Z16" s="34">
        <f t="shared" si="2"/>
        <v>203</v>
      </c>
      <c r="AA16" s="38">
        <f t="shared" si="3"/>
        <v>89.82300884955751</v>
      </c>
      <c r="AB16" s="44">
        <f>_xlfn.XLOOKUP(B16,'Format-Blr'!$B$51:$B$88,'Format-Blr'!I$51:I$88)</f>
        <v>0</v>
      </c>
      <c r="AC16" s="45">
        <f>_xlfn.XLOOKUP(B16,'Format-Blr'!$B$51:$B$88,'Format-Blr'!J$51:J$88)</f>
        <v>0</v>
      </c>
      <c r="AD16" s="45">
        <f>_xlfn.XLOOKUP(B16,'Format-Blr'!$B$51:$B$88,'Format-Blr'!P$51:P$88)</f>
        <v>0</v>
      </c>
      <c r="AE16" s="45">
        <f>_xlfn.XLOOKUP(B16,'Format-Blr'!$B$51:$B$88,'Format-Blr'!Q$51:Q$88)</f>
        <v>0</v>
      </c>
      <c r="AF16" s="45">
        <f>_xlfn.XLOOKUP(B16,'Format-Blr'!$B$51:$B$88,'Format-Blr'!W$51:W$88)</f>
        <v>41</v>
      </c>
      <c r="AG16" s="45">
        <f>_xlfn.XLOOKUP(B16,'Format-Blr'!$B$51:$B$88,'Format-Blr'!X$51:X$88)</f>
        <v>5</v>
      </c>
      <c r="AH16" s="45">
        <f>_xlfn.XLOOKUP(B16,'Format-Blr'!$B$51:$B$88,'Format-Blr'!AD$51:AD$88)</f>
        <v>0</v>
      </c>
      <c r="AI16" s="45">
        <f>_xlfn.XLOOKUP(B16,'Format-Blr'!$B$51:$B$88,'Format-Blr'!AE$51:AE$88)</f>
        <v>0</v>
      </c>
      <c r="AJ16" s="45">
        <f>_xlfn.XLOOKUP(B16,'Format-Blr'!$B$51:$B$88,'Format-Blr'!AK$51:AK$88)</f>
        <v>57</v>
      </c>
      <c r="AK16" s="45">
        <f>_xlfn.XLOOKUP(B16,'Format-Blr'!$B$51:$B$88,'Format-Blr'!AL$51:AL$88)</f>
        <v>16</v>
      </c>
      <c r="AL16" s="45">
        <f>_xlfn.XLOOKUP(B16,'Format-Blr'!$B$51:$B$88,'Format-Blr'!AR$51:AR$88)</f>
        <v>62</v>
      </c>
      <c r="AM16" s="45">
        <f>_xlfn.XLOOKUP(B16,'Format-Blr'!$B$51:$B$88,'Format-Blr'!AS$51:AS$88)</f>
        <v>19</v>
      </c>
      <c r="AN16" s="45">
        <f>_xlfn.XLOOKUP(B16,'Format-Blr'!$B$51:$B$88,'Format-Blr'!AY$51:AY$88)</f>
        <v>26</v>
      </c>
      <c r="AO16" s="45">
        <f>_xlfn.XLOOKUP(B16,'Format-Blr'!$B$51:$B$88,'Format-Blr'!AZ$51:AZ$88)</f>
        <v>14</v>
      </c>
      <c r="AP16" s="45">
        <f>_xlfn.XLOOKUP(B16,'Format-Blr'!$B$51:$B$88,'Format-Blr'!BF$51:BF$88)</f>
        <v>0</v>
      </c>
      <c r="AQ16" s="45">
        <f>_xlfn.XLOOKUP(B16,'Format-Blr'!$B$51:$B$88,'Format-Blr'!BG$51:BG$88)</f>
        <v>0</v>
      </c>
      <c r="AR16" s="45">
        <f>_xlfn.XLOOKUP(B16,'Format-Blr'!$B$51:$B$88,'Format-Blr'!BM$51:BM$88)</f>
        <v>0</v>
      </c>
      <c r="AS16" s="45">
        <f>_xlfn.XLOOKUP(B16,'Format-Blr'!$B$51:$B$88,'Format-Blr'!BN$51:BN$88)</f>
        <v>0</v>
      </c>
      <c r="AT16" s="45">
        <f>_xlfn.XLOOKUP(B16,'Format-Blr'!$B$51:$B$88,'Format-Blr'!BT$51:BT$88)</f>
        <v>49</v>
      </c>
      <c r="AU16" s="45">
        <f>_xlfn.XLOOKUP(B16,'Format-Blr'!$B$51:$B$88,'Format-Blr'!BU$51:BU$88)</f>
        <v>14</v>
      </c>
      <c r="AV16" s="34">
        <f t="shared" si="4"/>
        <v>235</v>
      </c>
      <c r="AW16" s="34">
        <f t="shared" si="5"/>
        <v>68</v>
      </c>
      <c r="AX16" s="38">
        <f t="shared" si="6"/>
        <v>28.936170212765955</v>
      </c>
      <c r="AY16" s="37">
        <f>_xlfn.XLOOKUP(B16,'Format-Blr'!B$51:B$88,'Format-Blr'!CF$51:CF$88)</f>
        <v>0</v>
      </c>
      <c r="AZ16" s="34">
        <f>_xlfn.XLOOKUP(B16,'Format-Blr'!B$51:B$88,'Format-Blr'!CG$51:CG$88)</f>
        <v>0</v>
      </c>
      <c r="BA16" s="35" t="e">
        <f t="shared" ref="BA16" si="14">AZ16/AY16*100</f>
        <v>#DIV/0!</v>
      </c>
      <c r="BB16" s="37">
        <f>_xlfn.XLOOKUP(B16,'Format-Blr'!$B$7:$B$44,'Format-Blr'!CF$7:CF$44)</f>
        <v>0</v>
      </c>
      <c r="BC16" s="34">
        <f>_xlfn.XLOOKUP(B16,'Format-Blr'!$B$7:$B$44,'Format-Blr'!CG$7:CG$44)</f>
        <v>0</v>
      </c>
      <c r="BD16" s="34">
        <f>_xlfn.XLOOKUP(B16,'Format-Blr'!$B$7:$B$44,'Format-Blr'!CI$7:CI$44)</f>
        <v>0</v>
      </c>
      <c r="BE16" s="34">
        <f>_xlfn.XLOOKUP(B16,'Format-Blr'!$B$7:$B$44,'Format-Blr'!CJ$7:CJ$44)</f>
        <v>0</v>
      </c>
      <c r="BF16" s="34">
        <f>_xlfn.XLOOKUP(B16,'Format-Blr'!$B$7:$B$44,'Format-Blr'!CL$7:CL$44)</f>
        <v>0</v>
      </c>
      <c r="BG16" s="34">
        <f>_xlfn.XLOOKUP(B16,'Format-Blr'!$B$7:$B$44,'Format-Blr'!CM$7:CM$44)</f>
        <v>0</v>
      </c>
      <c r="BH16" s="34">
        <f>_xlfn.XLOOKUP(B16,'Format-Blr'!$B$7:$B$44,'Format-Blr'!CO$7:CO$44)</f>
        <v>0</v>
      </c>
      <c r="BI16" s="52">
        <f>_xlfn.XLOOKUP(B16,'Format-Blr'!$B$7:$B$44,'Format-Blr'!CP$7:CP$44)</f>
        <v>0</v>
      </c>
      <c r="BJ16" s="37">
        <f t="shared" si="13"/>
        <v>0</v>
      </c>
      <c r="BK16" s="34">
        <f t="shared" si="8"/>
        <v>0</v>
      </c>
      <c r="BL16" s="38" t="e">
        <f t="shared" si="9"/>
        <v>#DIV/0!</v>
      </c>
      <c r="BN16" s="37">
        <f t="shared" si="10"/>
        <v>461</v>
      </c>
      <c r="BO16" s="34">
        <f t="shared" si="11"/>
        <v>271</v>
      </c>
      <c r="BP16" s="38">
        <f t="shared" si="12"/>
        <v>58.785249457700651</v>
      </c>
    </row>
    <row r="17" spans="1:68" s="9" customFormat="1" ht="21" customHeight="1" x14ac:dyDescent="0.25">
      <c r="A17" s="46" t="s">
        <v>23</v>
      </c>
      <c r="B17" s="56" t="s">
        <v>5</v>
      </c>
      <c r="C17" s="48" t="s">
        <v>15</v>
      </c>
      <c r="D17" s="49" t="s">
        <v>16</v>
      </c>
      <c r="E17" s="44">
        <f>_xlfn.XLOOKUP(B17,'Format-Blr'!$B$7:$B$44,'Format-Blr'!I$7:I$44)</f>
        <v>46</v>
      </c>
      <c r="F17" s="45">
        <f>_xlfn.XLOOKUP(B17,'Format-Blr'!$B$7:$B$44,'Format-Blr'!J$7:J$44)</f>
        <v>35</v>
      </c>
      <c r="G17" s="45">
        <f>_xlfn.XLOOKUP(B17,'Format-Blr'!$B$7:$B$44,'Format-Blr'!P$7:P$44)</f>
        <v>0</v>
      </c>
      <c r="H17" s="45">
        <f>_xlfn.XLOOKUP(B17,'Format-Blr'!$B$7:$B$44,'Format-Blr'!Q$7:Q$44)</f>
        <v>0</v>
      </c>
      <c r="I17" s="45">
        <f>_xlfn.XLOOKUP(B17,'Format-Blr'!$B$7:$B$44,'Format-Blr'!W$7:W$44)</f>
        <v>67</v>
      </c>
      <c r="J17" s="45">
        <f>_xlfn.XLOOKUP(B17,'Format-Blr'!$B$7:$B$44,'Format-Blr'!X$7:X$44)</f>
        <v>55</v>
      </c>
      <c r="K17" s="45">
        <f>_xlfn.XLOOKUP(B17,'Format-Blr'!$B$7:$B$44,'Format-Blr'!AD$7:AD$44)</f>
        <v>0</v>
      </c>
      <c r="L17" s="45">
        <f>_xlfn.XLOOKUP(B17,'Format-Blr'!$B$7:$B$44,'Format-Blr'!AE$7:AE$44)</f>
        <v>0</v>
      </c>
      <c r="M17" s="45">
        <f>_xlfn.XLOOKUP(B17,'Format-Blr'!$B$7:$B$44,'Format-Blr'!AK$7:AK$44)</f>
        <v>60</v>
      </c>
      <c r="N17" s="45">
        <f>_xlfn.XLOOKUP(B17,'Format-Blr'!$B$7:$B$44,'Format-Blr'!AL$7:AL$44)</f>
        <v>48</v>
      </c>
      <c r="O17" s="45">
        <f>_xlfn.XLOOKUP(B17,'Format-Blr'!$B$7:$B$44,'Format-Blr'!AR$7:AR$44)</f>
        <v>101</v>
      </c>
      <c r="P17" s="45">
        <f>_xlfn.XLOOKUP(B17,'Format-Blr'!$B$7:$B$44,'Format-Blr'!AS$7:AS$44)</f>
        <v>78</v>
      </c>
      <c r="Q17" s="45">
        <f>_xlfn.XLOOKUP(B17,'Format-Blr'!$B$7:$B$44,'Format-Blr'!AY$7:AY$44)</f>
        <v>55</v>
      </c>
      <c r="R17" s="45">
        <f>_xlfn.XLOOKUP(B17,'Format-Blr'!$B$7:$B$44,'Format-Blr'!AZ$7:AZ$44)</f>
        <v>40</v>
      </c>
      <c r="S17" s="45">
        <f>_xlfn.XLOOKUP(B17,'Format-Blr'!$B$7:$B$44,'Format-Blr'!BF$7:BF$44)</f>
        <v>0</v>
      </c>
      <c r="T17" s="45">
        <f>_xlfn.XLOOKUP(B17,'Format-Blr'!$B$7:$B$44,'Format-Blr'!BG$7:BG$44)</f>
        <v>0</v>
      </c>
      <c r="U17" s="45">
        <f>_xlfn.XLOOKUP(B17,'Format-Blr'!$B$7:$B$44,'Format-Blr'!BM$7:BM$44)</f>
        <v>0</v>
      </c>
      <c r="V17" s="45">
        <f>_xlfn.XLOOKUP(B17,'Format-Blr'!$B$7:$B$44,'Format-Blr'!BN$7:BN$44)</f>
        <v>0</v>
      </c>
      <c r="W17" s="45">
        <f>_xlfn.XLOOKUP(B17,'Format-Blr'!$B$7:$B$44,'Format-Blr'!BT$7:BT$44)</f>
        <v>51</v>
      </c>
      <c r="X17" s="45">
        <f>_xlfn.XLOOKUP(B17,'Format-Blr'!$B$7:$B$44,'Format-Blr'!BU$7:BU$44)</f>
        <v>43</v>
      </c>
      <c r="Y17" s="34">
        <f t="shared" si="1"/>
        <v>380</v>
      </c>
      <c r="Z17" s="34">
        <f t="shared" si="2"/>
        <v>299</v>
      </c>
      <c r="AA17" s="38">
        <f t="shared" si="3"/>
        <v>78.684210526315795</v>
      </c>
      <c r="AB17" s="44">
        <f>_xlfn.XLOOKUP(B17,'Format-Blr'!$B$51:$B$88,'Format-Blr'!I$51:I$88)</f>
        <v>48</v>
      </c>
      <c r="AC17" s="45">
        <f>_xlfn.XLOOKUP(B17,'Format-Blr'!$B$51:$B$88,'Format-Blr'!J$51:J$88)</f>
        <v>7</v>
      </c>
      <c r="AD17" s="45">
        <f>_xlfn.XLOOKUP(B17,'Format-Blr'!$B$51:$B$88,'Format-Blr'!P$51:P$88)</f>
        <v>25</v>
      </c>
      <c r="AE17" s="45">
        <f>_xlfn.XLOOKUP(B17,'Format-Blr'!$B$51:$B$88,'Format-Blr'!Q$51:Q$88)</f>
        <v>2</v>
      </c>
      <c r="AF17" s="45">
        <f>_xlfn.XLOOKUP(B17,'Format-Blr'!$B$51:$B$88,'Format-Blr'!W$51:W$88)</f>
        <v>52</v>
      </c>
      <c r="AG17" s="45">
        <f>_xlfn.XLOOKUP(B17,'Format-Blr'!$B$51:$B$88,'Format-Blr'!X$51:X$88)</f>
        <v>8</v>
      </c>
      <c r="AH17" s="45">
        <f>_xlfn.XLOOKUP(B17,'Format-Blr'!$B$51:$B$88,'Format-Blr'!AD$51:AD$88)</f>
        <v>0</v>
      </c>
      <c r="AI17" s="45">
        <f>_xlfn.XLOOKUP(B17,'Format-Blr'!$B$51:$B$88,'Format-Blr'!AE$51:AE$88)</f>
        <v>0</v>
      </c>
      <c r="AJ17" s="45">
        <f>_xlfn.XLOOKUP(B17,'Format-Blr'!$B$51:$B$88,'Format-Blr'!AK$51:AK$88)</f>
        <v>67</v>
      </c>
      <c r="AK17" s="45">
        <f>_xlfn.XLOOKUP(B17,'Format-Blr'!$B$51:$B$88,'Format-Blr'!AL$51:AL$88)</f>
        <v>11</v>
      </c>
      <c r="AL17" s="45">
        <f>_xlfn.XLOOKUP(B17,'Format-Blr'!$B$51:$B$88,'Format-Blr'!AR$51:AR$88)</f>
        <v>62</v>
      </c>
      <c r="AM17" s="45">
        <f>_xlfn.XLOOKUP(B17,'Format-Blr'!$B$51:$B$88,'Format-Blr'!AS$51:AS$88)</f>
        <v>20</v>
      </c>
      <c r="AN17" s="45">
        <f>_xlfn.XLOOKUP(B17,'Format-Blr'!$B$51:$B$88,'Format-Blr'!AY$51:AY$88)</f>
        <v>45</v>
      </c>
      <c r="AO17" s="45">
        <f>_xlfn.XLOOKUP(B17,'Format-Blr'!$B$51:$B$88,'Format-Blr'!AZ$51:AZ$88)</f>
        <v>13</v>
      </c>
      <c r="AP17" s="45">
        <f>_xlfn.XLOOKUP(B17,'Format-Blr'!$B$51:$B$88,'Format-Blr'!BF$51:BF$88)</f>
        <v>0</v>
      </c>
      <c r="AQ17" s="45">
        <f>_xlfn.XLOOKUP(B17,'Format-Blr'!$B$51:$B$88,'Format-Blr'!BG$51:BG$88)</f>
        <v>0</v>
      </c>
      <c r="AR17" s="45">
        <f>_xlfn.XLOOKUP(B17,'Format-Blr'!$B$51:$B$88,'Format-Blr'!BM$51:BM$88)</f>
        <v>0</v>
      </c>
      <c r="AS17" s="45">
        <f>_xlfn.XLOOKUP(B17,'Format-Blr'!$B$51:$B$88,'Format-Blr'!BN$51:BN$88)</f>
        <v>0</v>
      </c>
      <c r="AT17" s="45">
        <f>_xlfn.XLOOKUP(B17,'Format-Blr'!$B$51:$B$88,'Format-Blr'!BT$51:BT$88)</f>
        <v>66</v>
      </c>
      <c r="AU17" s="45">
        <f>_xlfn.XLOOKUP(B17,'Format-Blr'!$B$51:$B$88,'Format-Blr'!BU$51:BU$88)</f>
        <v>8</v>
      </c>
      <c r="AV17" s="34">
        <f t="shared" si="4"/>
        <v>365</v>
      </c>
      <c r="AW17" s="34">
        <f t="shared" si="5"/>
        <v>69</v>
      </c>
      <c r="AX17" s="38">
        <f t="shared" si="6"/>
        <v>18.904109589041095</v>
      </c>
      <c r="AY17" s="37">
        <f>_xlfn.XLOOKUP(B17,'Format-Blr'!B$51:B$88,'Format-Blr'!CF$51:CF$88)</f>
        <v>0</v>
      </c>
      <c r="AZ17" s="34">
        <f>_xlfn.XLOOKUP(B17,'Format-Blr'!B$51:B$88,'Format-Blr'!CG$51:CG$88)</f>
        <v>0</v>
      </c>
      <c r="BA17" s="35" t="e">
        <f t="shared" si="7"/>
        <v>#DIV/0!</v>
      </c>
      <c r="BB17" s="37">
        <f>_xlfn.XLOOKUP(B17,'Format-Blr'!$B$7:$B$44,'Format-Blr'!CF$7:CF$44)</f>
        <v>32</v>
      </c>
      <c r="BC17" s="34">
        <f>_xlfn.XLOOKUP(B17,'Format-Blr'!$B$7:$B$44,'Format-Blr'!CG$7:CG$44)</f>
        <v>17</v>
      </c>
      <c r="BD17" s="34">
        <f>_xlfn.XLOOKUP(B17,'Format-Blr'!$B$7:$B$44,'Format-Blr'!CI$7:CI$44)</f>
        <v>40</v>
      </c>
      <c r="BE17" s="34">
        <f>_xlfn.XLOOKUP(B17,'Format-Blr'!$B$7:$B$44,'Format-Blr'!CJ$7:CJ$44)</f>
        <v>19</v>
      </c>
      <c r="BF17" s="34">
        <f>_xlfn.XLOOKUP(B17,'Format-Blr'!$B$7:$B$44,'Format-Blr'!CL$7:CL$44)</f>
        <v>50</v>
      </c>
      <c r="BG17" s="34">
        <f>_xlfn.XLOOKUP(B17,'Format-Blr'!$B$7:$B$44,'Format-Blr'!CM$7:CM$44)</f>
        <v>43</v>
      </c>
      <c r="BH17" s="34">
        <f>_xlfn.XLOOKUP(B17,'Format-Blr'!$B$7:$B$44,'Format-Blr'!CO$7:CO$44)</f>
        <v>30</v>
      </c>
      <c r="BI17" s="52">
        <f>_xlfn.XLOOKUP(B17,'Format-Blr'!$B$7:$B$44,'Format-Blr'!CP$7:CP$44)</f>
        <v>30</v>
      </c>
      <c r="BJ17" s="37">
        <f t="shared" si="13"/>
        <v>152</v>
      </c>
      <c r="BK17" s="34">
        <f t="shared" si="8"/>
        <v>109</v>
      </c>
      <c r="BL17" s="38">
        <f t="shared" si="9"/>
        <v>71.710526315789465</v>
      </c>
      <c r="BN17" s="37">
        <f t="shared" si="10"/>
        <v>897</v>
      </c>
      <c r="BO17" s="34">
        <f t="shared" si="11"/>
        <v>477</v>
      </c>
      <c r="BP17" s="38">
        <f t="shared" si="12"/>
        <v>53.177257525083611</v>
      </c>
    </row>
    <row r="18" spans="1:68" s="9" customFormat="1" ht="21" customHeight="1" x14ac:dyDescent="0.25">
      <c r="A18" s="46" t="s">
        <v>23</v>
      </c>
      <c r="B18" s="55" t="s">
        <v>45</v>
      </c>
      <c r="C18" s="48" t="s">
        <v>15</v>
      </c>
      <c r="D18" s="49" t="s">
        <v>16</v>
      </c>
      <c r="E18" s="44">
        <f>_xlfn.XLOOKUP(B18,'Format-Blr'!$B$7:$B$44,'Format-Blr'!I$7:I$44)</f>
        <v>0</v>
      </c>
      <c r="F18" s="45">
        <f>_xlfn.XLOOKUP(B18,'Format-Blr'!$B$7:$B$44,'Format-Blr'!J$7:J$44)</f>
        <v>0</v>
      </c>
      <c r="G18" s="45">
        <f>_xlfn.XLOOKUP(B18,'Format-Blr'!$B$7:$B$44,'Format-Blr'!P$7:P$44)</f>
        <v>0</v>
      </c>
      <c r="H18" s="45">
        <f>_xlfn.XLOOKUP(B18,'Format-Blr'!$B$7:$B$44,'Format-Blr'!Q$7:Q$44)</f>
        <v>0</v>
      </c>
      <c r="I18" s="45">
        <f>_xlfn.XLOOKUP(B18,'Format-Blr'!$B$7:$B$44,'Format-Blr'!W$7:W$44)</f>
        <v>0</v>
      </c>
      <c r="J18" s="45">
        <f>_xlfn.XLOOKUP(B18,'Format-Blr'!$B$7:$B$44,'Format-Blr'!X$7:X$44)</f>
        <v>0</v>
      </c>
      <c r="K18" s="45">
        <f>_xlfn.XLOOKUP(B18,'Format-Blr'!$B$7:$B$44,'Format-Blr'!AD$7:AD$44)</f>
        <v>0</v>
      </c>
      <c r="L18" s="45">
        <f>_xlfn.XLOOKUP(B18,'Format-Blr'!$B$7:$B$44,'Format-Blr'!AE$7:AE$44)</f>
        <v>0</v>
      </c>
      <c r="M18" s="45">
        <f>_xlfn.XLOOKUP(B18,'Format-Blr'!$B$7:$B$44,'Format-Blr'!AK$7:AK$44)</f>
        <v>0</v>
      </c>
      <c r="N18" s="45">
        <f>_xlfn.XLOOKUP(B18,'Format-Blr'!$B$7:$B$44,'Format-Blr'!AL$7:AL$44)</f>
        <v>0</v>
      </c>
      <c r="O18" s="45">
        <f>_xlfn.XLOOKUP(B18,'Format-Blr'!$B$7:$B$44,'Format-Blr'!AR$7:AR$44)</f>
        <v>54</v>
      </c>
      <c r="P18" s="45">
        <f>_xlfn.XLOOKUP(B18,'Format-Blr'!$B$7:$B$44,'Format-Blr'!AS$7:AS$44)</f>
        <v>37</v>
      </c>
      <c r="Q18" s="45">
        <f>_xlfn.XLOOKUP(B18,'Format-Blr'!$B$7:$B$44,'Format-Blr'!AY$7:AY$44)</f>
        <v>0</v>
      </c>
      <c r="R18" s="45">
        <f>_xlfn.XLOOKUP(B18,'Format-Blr'!$B$7:$B$44,'Format-Blr'!AZ$7:AZ$44)</f>
        <v>0</v>
      </c>
      <c r="S18" s="45">
        <f>_xlfn.XLOOKUP(B18,'Format-Blr'!$B$7:$B$44,'Format-Blr'!BF$7:BF$44)</f>
        <v>0</v>
      </c>
      <c r="T18" s="45">
        <f>_xlfn.XLOOKUP(B18,'Format-Blr'!$B$7:$B$44,'Format-Blr'!BG$7:BG$44)</f>
        <v>0</v>
      </c>
      <c r="U18" s="45">
        <f>_xlfn.XLOOKUP(B18,'Format-Blr'!$B$7:$B$44,'Format-Blr'!BM$7:BM$44)</f>
        <v>0</v>
      </c>
      <c r="V18" s="45">
        <f>_xlfn.XLOOKUP(B18,'Format-Blr'!$B$7:$B$44,'Format-Blr'!BN$7:BN$44)</f>
        <v>0</v>
      </c>
      <c r="W18" s="45">
        <f>_xlfn.XLOOKUP(B18,'Format-Blr'!$B$7:$B$44,'Format-Blr'!BT$7:BT$44)</f>
        <v>58</v>
      </c>
      <c r="X18" s="45">
        <f>_xlfn.XLOOKUP(B18,'Format-Blr'!$B$7:$B$44,'Format-Blr'!BU$7:BU$44)</f>
        <v>47</v>
      </c>
      <c r="Y18" s="34">
        <f t="shared" si="1"/>
        <v>112</v>
      </c>
      <c r="Z18" s="34">
        <f t="shared" si="2"/>
        <v>84</v>
      </c>
      <c r="AA18" s="38">
        <f t="shared" si="3"/>
        <v>75</v>
      </c>
      <c r="AB18" s="44">
        <f>_xlfn.XLOOKUP(B18,'Format-Blr'!$B$51:$B$88,'Format-Blr'!I$51:I$88)</f>
        <v>0</v>
      </c>
      <c r="AC18" s="45">
        <f>_xlfn.XLOOKUP(B18,'Format-Blr'!$B$51:$B$88,'Format-Blr'!J$51:J$88)</f>
        <v>0</v>
      </c>
      <c r="AD18" s="45">
        <f>_xlfn.XLOOKUP(B18,'Format-Blr'!$B$51:$B$88,'Format-Blr'!P$51:P$88)</f>
        <v>0</v>
      </c>
      <c r="AE18" s="45">
        <f>_xlfn.XLOOKUP(B18,'Format-Blr'!$B$51:$B$88,'Format-Blr'!Q$51:Q$88)</f>
        <v>0</v>
      </c>
      <c r="AF18" s="45">
        <f>_xlfn.XLOOKUP(B18,'Format-Blr'!$B$51:$B$88,'Format-Blr'!W$51:W$88)</f>
        <v>0</v>
      </c>
      <c r="AG18" s="45">
        <f>_xlfn.XLOOKUP(B18,'Format-Blr'!$B$51:$B$88,'Format-Blr'!X$51:X$88)</f>
        <v>0</v>
      </c>
      <c r="AH18" s="45">
        <f>_xlfn.XLOOKUP(B18,'Format-Blr'!$B$51:$B$88,'Format-Blr'!AD$51:AD$88)</f>
        <v>0</v>
      </c>
      <c r="AI18" s="45">
        <f>_xlfn.XLOOKUP(B18,'Format-Blr'!$B$51:$B$88,'Format-Blr'!AE$51:AE$88)</f>
        <v>0</v>
      </c>
      <c r="AJ18" s="45">
        <f>_xlfn.XLOOKUP(B18,'Format-Blr'!$B$51:$B$88,'Format-Blr'!AK$51:AK$88)</f>
        <v>0</v>
      </c>
      <c r="AK18" s="45">
        <f>_xlfn.XLOOKUP(B18,'Format-Blr'!$B$51:$B$88,'Format-Blr'!AL$51:AL$88)</f>
        <v>0</v>
      </c>
      <c r="AL18" s="45">
        <f>_xlfn.XLOOKUP(B18,'Format-Blr'!$B$51:$B$88,'Format-Blr'!AR$51:AR$88)</f>
        <v>63</v>
      </c>
      <c r="AM18" s="45">
        <f>_xlfn.XLOOKUP(B18,'Format-Blr'!$B$51:$B$88,'Format-Blr'!AS$51:AS$88)</f>
        <v>14</v>
      </c>
      <c r="AN18" s="45">
        <f>_xlfn.XLOOKUP(B18,'Format-Blr'!$B$51:$B$88,'Format-Blr'!AY$51:AY$88)</f>
        <v>0</v>
      </c>
      <c r="AO18" s="45">
        <f>_xlfn.XLOOKUP(B18,'Format-Blr'!$B$51:$B$88,'Format-Blr'!AZ$51:AZ$88)</f>
        <v>0</v>
      </c>
      <c r="AP18" s="45">
        <f>_xlfn.XLOOKUP(B18,'Format-Blr'!$B$51:$B$88,'Format-Blr'!BF$51:BF$88)</f>
        <v>26</v>
      </c>
      <c r="AQ18" s="45">
        <f>_xlfn.XLOOKUP(B18,'Format-Blr'!$B$51:$B$88,'Format-Blr'!BG$51:BG$88)</f>
        <v>7</v>
      </c>
      <c r="AR18" s="45">
        <f>_xlfn.XLOOKUP(B18,'Format-Blr'!$B$51:$B$88,'Format-Blr'!BM$51:BM$88)</f>
        <v>27</v>
      </c>
      <c r="AS18" s="45">
        <f>_xlfn.XLOOKUP(B18,'Format-Blr'!$B$51:$B$88,'Format-Blr'!BN$51:BN$88)</f>
        <v>7</v>
      </c>
      <c r="AT18" s="45">
        <f>_xlfn.XLOOKUP(B18,'Format-Blr'!$B$51:$B$88,'Format-Blr'!BT$51:BT$88)</f>
        <v>0</v>
      </c>
      <c r="AU18" s="45">
        <f>_xlfn.XLOOKUP(B18,'Format-Blr'!$B$51:$B$88,'Format-Blr'!BU$51:BU$88)</f>
        <v>0</v>
      </c>
      <c r="AV18" s="34">
        <f t="shared" si="4"/>
        <v>116</v>
      </c>
      <c r="AW18" s="34">
        <f t="shared" si="5"/>
        <v>28</v>
      </c>
      <c r="AX18" s="38">
        <f t="shared" si="6"/>
        <v>24.137931034482758</v>
      </c>
      <c r="AY18" s="37">
        <f>_xlfn.XLOOKUP(B18,'Format-Blr'!B$51:B$88,'Format-Blr'!CF$51:CF$88)</f>
        <v>0</v>
      </c>
      <c r="AZ18" s="34">
        <f>_xlfn.XLOOKUP(B18,'Format-Blr'!B$51:B$88,'Format-Blr'!CG$51:CG$88)</f>
        <v>0</v>
      </c>
      <c r="BA18" s="35" t="e">
        <f t="shared" si="7"/>
        <v>#DIV/0!</v>
      </c>
      <c r="BB18" s="37">
        <f>_xlfn.XLOOKUP(B18,'Format-Blr'!$B$7:$B$44,'Format-Blr'!CF$7:CF$44)</f>
        <v>0</v>
      </c>
      <c r="BC18" s="34">
        <f>_xlfn.XLOOKUP(B18,'Format-Blr'!$B$7:$B$44,'Format-Blr'!CG$7:CG$44)</f>
        <v>0</v>
      </c>
      <c r="BD18" s="34">
        <f>_xlfn.XLOOKUP(B18,'Format-Blr'!$B$7:$B$44,'Format-Blr'!CI$7:CI$44)</f>
        <v>0</v>
      </c>
      <c r="BE18" s="34">
        <f>_xlfn.XLOOKUP(B18,'Format-Blr'!$B$7:$B$44,'Format-Blr'!CJ$7:CJ$44)</f>
        <v>0</v>
      </c>
      <c r="BF18" s="34">
        <f>_xlfn.XLOOKUP(B18,'Format-Blr'!$B$7:$B$44,'Format-Blr'!CL$7:CL$44)</f>
        <v>0</v>
      </c>
      <c r="BG18" s="34">
        <f>_xlfn.XLOOKUP(B18,'Format-Blr'!$B$7:$B$44,'Format-Blr'!CM$7:CM$44)</f>
        <v>0</v>
      </c>
      <c r="BH18" s="34">
        <f>_xlfn.XLOOKUP(B18,'Format-Blr'!$B$7:$B$44,'Format-Blr'!CO$7:CO$44)</f>
        <v>0</v>
      </c>
      <c r="BI18" s="52">
        <f>_xlfn.XLOOKUP(B18,'Format-Blr'!$B$7:$B$44,'Format-Blr'!CP$7:CP$44)</f>
        <v>0</v>
      </c>
      <c r="BJ18" s="37">
        <f t="shared" si="13"/>
        <v>0</v>
      </c>
      <c r="BK18" s="34">
        <f t="shared" si="8"/>
        <v>0</v>
      </c>
      <c r="BL18" s="38" t="e">
        <f t="shared" si="9"/>
        <v>#DIV/0!</v>
      </c>
      <c r="BN18" s="37">
        <f t="shared" si="10"/>
        <v>228</v>
      </c>
      <c r="BO18" s="34">
        <f t="shared" si="11"/>
        <v>112</v>
      </c>
      <c r="BP18" s="38">
        <f t="shared" si="12"/>
        <v>49.122807017543856</v>
      </c>
    </row>
    <row r="19" spans="1:68" s="9" customFormat="1" ht="21" customHeight="1" x14ac:dyDescent="0.25">
      <c r="A19" s="46" t="s">
        <v>23</v>
      </c>
      <c r="B19" s="55" t="s">
        <v>71</v>
      </c>
      <c r="C19" s="48" t="s">
        <v>15</v>
      </c>
      <c r="D19" s="49" t="s">
        <v>16</v>
      </c>
      <c r="E19" s="44">
        <f>_xlfn.XLOOKUP(B19,'Format-Blr'!$B$7:$B$44,'Format-Blr'!I$7:I$44)</f>
        <v>0</v>
      </c>
      <c r="F19" s="45">
        <f>_xlfn.XLOOKUP(B19,'Format-Blr'!$B$7:$B$44,'Format-Blr'!J$7:J$44)</f>
        <v>0</v>
      </c>
      <c r="G19" s="45">
        <f>_xlfn.XLOOKUP(B19,'Format-Blr'!$B$7:$B$44,'Format-Blr'!P$7:P$44)</f>
        <v>0</v>
      </c>
      <c r="H19" s="45">
        <f>_xlfn.XLOOKUP(B19,'Format-Blr'!$B$7:$B$44,'Format-Blr'!Q$7:Q$44)</f>
        <v>0</v>
      </c>
      <c r="I19" s="45">
        <f>_xlfn.XLOOKUP(B19,'Format-Blr'!$B$7:$B$44,'Format-Blr'!W$7:W$44)</f>
        <v>0</v>
      </c>
      <c r="J19" s="45">
        <f>_xlfn.XLOOKUP(B19,'Format-Blr'!$B$7:$B$44,'Format-Blr'!X$7:X$44)</f>
        <v>0</v>
      </c>
      <c r="K19" s="45">
        <f>_xlfn.XLOOKUP(B19,'Format-Blr'!$B$7:$B$44,'Format-Blr'!AD$7:AD$44)</f>
        <v>0</v>
      </c>
      <c r="L19" s="45">
        <f>_xlfn.XLOOKUP(B19,'Format-Blr'!$B$7:$B$44,'Format-Blr'!AE$7:AE$44)</f>
        <v>0</v>
      </c>
      <c r="M19" s="45">
        <f>_xlfn.XLOOKUP(B19,'Format-Blr'!$B$7:$B$44,'Format-Blr'!AK$7:AK$44)</f>
        <v>0</v>
      </c>
      <c r="N19" s="45">
        <f>_xlfn.XLOOKUP(B19,'Format-Blr'!$B$7:$B$44,'Format-Blr'!AL$7:AL$44)</f>
        <v>0</v>
      </c>
      <c r="O19" s="45">
        <f>_xlfn.XLOOKUP(B19,'Format-Blr'!$B$7:$B$44,'Format-Blr'!AR$7:AR$44)</f>
        <v>81</v>
      </c>
      <c r="P19" s="45">
        <f>_xlfn.XLOOKUP(B19,'Format-Blr'!$B$7:$B$44,'Format-Blr'!AS$7:AS$44)</f>
        <v>65</v>
      </c>
      <c r="Q19" s="45">
        <f>_xlfn.XLOOKUP(B19,'Format-Blr'!$B$7:$B$44,'Format-Blr'!AY$7:AY$44)</f>
        <v>0</v>
      </c>
      <c r="R19" s="45">
        <f>_xlfn.XLOOKUP(B19,'Format-Blr'!$B$7:$B$44,'Format-Blr'!AZ$7:AZ$44)</f>
        <v>0</v>
      </c>
      <c r="S19" s="45">
        <f>_xlfn.XLOOKUP(B19,'Format-Blr'!$B$7:$B$44,'Format-Blr'!BF$7:BF$44)</f>
        <v>45</v>
      </c>
      <c r="T19" s="45">
        <f>_xlfn.XLOOKUP(B19,'Format-Blr'!$B$7:$B$44,'Format-Blr'!BG$7:BG$44)</f>
        <v>43</v>
      </c>
      <c r="U19" s="45">
        <f>_xlfn.XLOOKUP(B19,'Format-Blr'!$B$7:$B$44,'Format-Blr'!BM$7:BM$44)</f>
        <v>0</v>
      </c>
      <c r="V19" s="45">
        <f>_xlfn.XLOOKUP(B19,'Format-Blr'!$B$7:$B$44,'Format-Blr'!BN$7:BN$44)</f>
        <v>0</v>
      </c>
      <c r="W19" s="45">
        <f>_xlfn.XLOOKUP(B19,'Format-Blr'!$B$7:$B$44,'Format-Blr'!BT$7:BT$44)</f>
        <v>0</v>
      </c>
      <c r="X19" s="45">
        <f>_xlfn.XLOOKUP(B19,'Format-Blr'!$B$7:$B$44,'Format-Blr'!BU$7:BU$44)</f>
        <v>0</v>
      </c>
      <c r="Y19" s="34">
        <f t="shared" si="1"/>
        <v>126</v>
      </c>
      <c r="Z19" s="34">
        <f t="shared" si="2"/>
        <v>108</v>
      </c>
      <c r="AA19" s="38">
        <f t="shared" si="3"/>
        <v>85.714285714285708</v>
      </c>
      <c r="AB19" s="44">
        <f>_xlfn.XLOOKUP(B19,'Format-Blr'!$B$51:$B$88,'Format-Blr'!I$51:I$88)</f>
        <v>0</v>
      </c>
      <c r="AC19" s="45">
        <f>_xlfn.XLOOKUP(B19,'Format-Blr'!$B$51:$B$88,'Format-Blr'!J$51:J$88)</f>
        <v>0</v>
      </c>
      <c r="AD19" s="45">
        <f>_xlfn.XLOOKUP(B19,'Format-Blr'!$B$51:$B$88,'Format-Blr'!P$51:P$88)</f>
        <v>0</v>
      </c>
      <c r="AE19" s="45">
        <f>_xlfn.XLOOKUP(B19,'Format-Blr'!$B$51:$B$88,'Format-Blr'!Q$51:Q$88)</f>
        <v>0</v>
      </c>
      <c r="AF19" s="45">
        <f>_xlfn.XLOOKUP(B19,'Format-Blr'!$B$51:$B$88,'Format-Blr'!W$51:W$88)</f>
        <v>0</v>
      </c>
      <c r="AG19" s="45">
        <f>_xlfn.XLOOKUP(B19,'Format-Blr'!$B$51:$B$88,'Format-Blr'!X$51:X$88)</f>
        <v>0</v>
      </c>
      <c r="AH19" s="45">
        <f>_xlfn.XLOOKUP(B19,'Format-Blr'!$B$51:$B$88,'Format-Blr'!AD$51:AD$88)</f>
        <v>0</v>
      </c>
      <c r="AI19" s="45">
        <f>_xlfn.XLOOKUP(B19,'Format-Blr'!$B$51:$B$88,'Format-Blr'!AE$51:AE$88)</f>
        <v>0</v>
      </c>
      <c r="AJ19" s="45">
        <f>_xlfn.XLOOKUP(B19,'Format-Blr'!$B$51:$B$88,'Format-Blr'!AK$51:AK$88)</f>
        <v>0</v>
      </c>
      <c r="AK19" s="45">
        <f>_xlfn.XLOOKUP(B19,'Format-Blr'!$B$51:$B$88,'Format-Blr'!AL$51:AL$88)</f>
        <v>0</v>
      </c>
      <c r="AL19" s="45">
        <f>_xlfn.XLOOKUP(B19,'Format-Blr'!$B$51:$B$88,'Format-Blr'!AR$51:AR$88)</f>
        <v>0</v>
      </c>
      <c r="AM19" s="45">
        <f>_xlfn.XLOOKUP(B19,'Format-Blr'!$B$51:$B$88,'Format-Blr'!AS$51:AS$88)</f>
        <v>0</v>
      </c>
      <c r="AN19" s="45">
        <f>_xlfn.XLOOKUP(B19,'Format-Blr'!$B$51:$B$88,'Format-Blr'!AY$51:AY$88)</f>
        <v>0</v>
      </c>
      <c r="AO19" s="45">
        <f>_xlfn.XLOOKUP(B19,'Format-Blr'!$B$51:$B$88,'Format-Blr'!AZ$51:AZ$88)</f>
        <v>0</v>
      </c>
      <c r="AP19" s="45">
        <f>_xlfn.XLOOKUP(B19,'Format-Blr'!$B$51:$B$88,'Format-Blr'!BF$51:BF$88)</f>
        <v>0</v>
      </c>
      <c r="AQ19" s="45">
        <f>_xlfn.XLOOKUP(B19,'Format-Blr'!$B$51:$B$88,'Format-Blr'!BG$51:BG$88)</f>
        <v>0</v>
      </c>
      <c r="AR19" s="45">
        <f>_xlfn.XLOOKUP(B19,'Format-Blr'!$B$51:$B$88,'Format-Blr'!BM$51:BM$88)</f>
        <v>0</v>
      </c>
      <c r="AS19" s="45">
        <f>_xlfn.XLOOKUP(B19,'Format-Blr'!$B$51:$B$88,'Format-Blr'!BN$51:BN$88)</f>
        <v>0</v>
      </c>
      <c r="AT19" s="45">
        <f>_xlfn.XLOOKUP(B19,'Format-Blr'!$B$51:$B$88,'Format-Blr'!BT$51:BT$88)</f>
        <v>0</v>
      </c>
      <c r="AU19" s="45">
        <f>_xlfn.XLOOKUP(B19,'Format-Blr'!$B$51:$B$88,'Format-Blr'!BU$51:BU$88)</f>
        <v>0</v>
      </c>
      <c r="AV19" s="34">
        <f t="shared" si="4"/>
        <v>0</v>
      </c>
      <c r="AW19" s="34">
        <f t="shared" si="5"/>
        <v>0</v>
      </c>
      <c r="AX19" s="38" t="e">
        <f t="shared" ref="AX19:AX24" si="15">AW19/AV19*100</f>
        <v>#DIV/0!</v>
      </c>
      <c r="AY19" s="37">
        <f>_xlfn.XLOOKUP(B19,'Format-Blr'!B$51:B$88,'Format-Blr'!CF$51:CF$88)</f>
        <v>0</v>
      </c>
      <c r="AZ19" s="34">
        <f>_xlfn.XLOOKUP(B19,'Format-Blr'!B$51:B$88,'Format-Blr'!CG$51:CG$88)</f>
        <v>0</v>
      </c>
      <c r="BA19" s="35" t="e">
        <f t="shared" ref="BA19:BA24" si="16">AZ19/AY19*100</f>
        <v>#DIV/0!</v>
      </c>
      <c r="BB19" s="37">
        <f>_xlfn.XLOOKUP(B19,'Format-Blr'!$B$7:$B$44,'Format-Blr'!CF$7:CF$44)</f>
        <v>0</v>
      </c>
      <c r="BC19" s="34">
        <f>_xlfn.XLOOKUP(B19,'Format-Blr'!$B$7:$B$44,'Format-Blr'!CG$7:CG$44)</f>
        <v>0</v>
      </c>
      <c r="BD19" s="34">
        <f>_xlfn.XLOOKUP(B19,'Format-Blr'!$B$7:$B$44,'Format-Blr'!CI$7:CI$44)</f>
        <v>0</v>
      </c>
      <c r="BE19" s="34">
        <f>_xlfn.XLOOKUP(B19,'Format-Blr'!$B$7:$B$44,'Format-Blr'!CJ$7:CJ$44)</f>
        <v>0</v>
      </c>
      <c r="BF19" s="34">
        <f>_xlfn.XLOOKUP(B19,'Format-Blr'!$B$7:$B$44,'Format-Blr'!CL$7:CL$44)</f>
        <v>0</v>
      </c>
      <c r="BG19" s="34">
        <f>_xlfn.XLOOKUP(B19,'Format-Blr'!$B$7:$B$44,'Format-Blr'!CM$7:CM$44)</f>
        <v>0</v>
      </c>
      <c r="BH19" s="34">
        <f>_xlfn.XLOOKUP(B19,'Format-Blr'!$B$7:$B$44,'Format-Blr'!CO$7:CO$44)</f>
        <v>0</v>
      </c>
      <c r="BI19" s="52">
        <f>_xlfn.XLOOKUP(B19,'Format-Blr'!$B$7:$B$44,'Format-Blr'!CP$7:CP$44)</f>
        <v>0</v>
      </c>
      <c r="BJ19" s="37">
        <f t="shared" ref="BJ19:BJ24" si="17">SUM(BB19,BD19,BF19,BH19)</f>
        <v>0</v>
      </c>
      <c r="BK19" s="34">
        <f t="shared" ref="BK19:BK24" si="18">SUM(BC19,BE19,BG19,BI19)</f>
        <v>0</v>
      </c>
      <c r="BL19" s="38" t="e">
        <f t="shared" ref="BL19:BL24" si="19">BK19/BJ19*100</f>
        <v>#DIV/0!</v>
      </c>
      <c r="BN19" s="37">
        <f t="shared" si="10"/>
        <v>126</v>
      </c>
      <c r="BO19" s="34">
        <f t="shared" si="11"/>
        <v>108</v>
      </c>
      <c r="BP19" s="38">
        <f t="shared" si="12"/>
        <v>85.714285714285708</v>
      </c>
    </row>
    <row r="20" spans="1:68" s="9" customFormat="1" ht="21" customHeight="1" x14ac:dyDescent="0.25">
      <c r="A20" s="46" t="s">
        <v>23</v>
      </c>
      <c r="B20" s="47" t="s">
        <v>72</v>
      </c>
      <c r="C20" s="48" t="s">
        <v>15</v>
      </c>
      <c r="D20" s="49" t="s">
        <v>16</v>
      </c>
      <c r="E20" s="44">
        <f>_xlfn.XLOOKUP(B20,'Format-Blr'!$B$7:$B$44,'Format-Blr'!I$7:I$44)</f>
        <v>0</v>
      </c>
      <c r="F20" s="45">
        <f>_xlfn.XLOOKUP(B20,'Format-Blr'!$B$7:$B$44,'Format-Blr'!J$7:J$44)</f>
        <v>0</v>
      </c>
      <c r="G20" s="45">
        <f>_xlfn.XLOOKUP(B20,'Format-Blr'!$B$7:$B$44,'Format-Blr'!P$7:P$44)</f>
        <v>0</v>
      </c>
      <c r="H20" s="45">
        <f>_xlfn.XLOOKUP(B20,'Format-Blr'!$B$7:$B$44,'Format-Blr'!Q$7:Q$44)</f>
        <v>0</v>
      </c>
      <c r="I20" s="45">
        <f>_xlfn.XLOOKUP(B20,'Format-Blr'!$B$7:$B$44,'Format-Blr'!W$7:W$44)</f>
        <v>25</v>
      </c>
      <c r="J20" s="45">
        <f>_xlfn.XLOOKUP(B20,'Format-Blr'!$B$7:$B$44,'Format-Blr'!X$7:X$44)</f>
        <v>22</v>
      </c>
      <c r="K20" s="45">
        <f>_xlfn.XLOOKUP(B20,'Format-Blr'!$B$7:$B$44,'Format-Blr'!AD$7:AD$44)</f>
        <v>0</v>
      </c>
      <c r="L20" s="45">
        <f>_xlfn.XLOOKUP(B20,'Format-Blr'!$B$7:$B$44,'Format-Blr'!AE$7:AE$44)</f>
        <v>0</v>
      </c>
      <c r="M20" s="45">
        <f>_xlfn.XLOOKUP(B20,'Format-Blr'!$B$7:$B$44,'Format-Blr'!AK$7:AK$44)</f>
        <v>0</v>
      </c>
      <c r="N20" s="45">
        <f>_xlfn.XLOOKUP(B20,'Format-Blr'!$B$7:$B$44,'Format-Blr'!AL$7:AL$44)</f>
        <v>0</v>
      </c>
      <c r="O20" s="45">
        <f>_xlfn.XLOOKUP(B20,'Format-Blr'!$B$7:$B$44,'Format-Blr'!AR$7:AR$44)</f>
        <v>56</v>
      </c>
      <c r="P20" s="45">
        <f>_xlfn.XLOOKUP(B20,'Format-Blr'!$B$7:$B$44,'Format-Blr'!AS$7:AS$44)</f>
        <v>46</v>
      </c>
      <c r="Q20" s="45">
        <f>_xlfn.XLOOKUP(B20,'Format-Blr'!$B$7:$B$44,'Format-Blr'!AY$7:AY$44)</f>
        <v>0</v>
      </c>
      <c r="R20" s="45">
        <f>_xlfn.XLOOKUP(B20,'Format-Blr'!$B$7:$B$44,'Format-Blr'!AZ$7:AZ$44)</f>
        <v>0</v>
      </c>
      <c r="S20" s="45">
        <f>_xlfn.XLOOKUP(B20,'Format-Blr'!$B$7:$B$44,'Format-Blr'!BF$7:BF$44)</f>
        <v>46</v>
      </c>
      <c r="T20" s="45">
        <f>_xlfn.XLOOKUP(B20,'Format-Blr'!$B$7:$B$44,'Format-Blr'!BG$7:BG$44)</f>
        <v>34</v>
      </c>
      <c r="U20" s="45">
        <f>_xlfn.XLOOKUP(B20,'Format-Blr'!$B$7:$B$44,'Format-Blr'!BM$7:BM$44)</f>
        <v>0</v>
      </c>
      <c r="V20" s="45">
        <f>_xlfn.XLOOKUP(B20,'Format-Blr'!$B$7:$B$44,'Format-Blr'!BN$7:BN$44)</f>
        <v>0</v>
      </c>
      <c r="W20" s="45">
        <f>_xlfn.XLOOKUP(B20,'Format-Blr'!$B$7:$B$44,'Format-Blr'!BT$7:BT$44)</f>
        <v>0</v>
      </c>
      <c r="X20" s="45">
        <f>_xlfn.XLOOKUP(B20,'Format-Blr'!$B$7:$B$44,'Format-Blr'!BU$7:BU$44)</f>
        <v>0</v>
      </c>
      <c r="Y20" s="34">
        <f t="shared" si="1"/>
        <v>127</v>
      </c>
      <c r="Z20" s="34">
        <f t="shared" si="2"/>
        <v>102</v>
      </c>
      <c r="AA20" s="38">
        <f t="shared" si="3"/>
        <v>80.314960629921259</v>
      </c>
      <c r="AB20" s="44">
        <f>_xlfn.XLOOKUP(B20,'Format-Blr'!$B$51:$B$88,'Format-Blr'!I$51:I$88)</f>
        <v>0</v>
      </c>
      <c r="AC20" s="45">
        <f>_xlfn.XLOOKUP(B20,'Format-Blr'!$B$51:$B$88,'Format-Blr'!J$51:J$88)</f>
        <v>0</v>
      </c>
      <c r="AD20" s="45">
        <f>_xlfn.XLOOKUP(B20,'Format-Blr'!$B$51:$B$88,'Format-Blr'!P$51:P$88)</f>
        <v>0</v>
      </c>
      <c r="AE20" s="45">
        <f>_xlfn.XLOOKUP(B20,'Format-Blr'!$B$51:$B$88,'Format-Blr'!Q$51:Q$88)</f>
        <v>0</v>
      </c>
      <c r="AF20" s="45">
        <f>_xlfn.XLOOKUP(B20,'Format-Blr'!$B$51:$B$88,'Format-Blr'!W$51:W$88)</f>
        <v>0</v>
      </c>
      <c r="AG20" s="45">
        <f>_xlfn.XLOOKUP(B20,'Format-Blr'!$B$51:$B$88,'Format-Blr'!X$51:X$88)</f>
        <v>0</v>
      </c>
      <c r="AH20" s="45">
        <f>_xlfn.XLOOKUP(B20,'Format-Blr'!$B$51:$B$88,'Format-Blr'!AD$51:AD$88)</f>
        <v>0</v>
      </c>
      <c r="AI20" s="45">
        <f>_xlfn.XLOOKUP(B20,'Format-Blr'!$B$51:$B$88,'Format-Blr'!AE$51:AE$88)</f>
        <v>0</v>
      </c>
      <c r="AJ20" s="45">
        <f>_xlfn.XLOOKUP(B20,'Format-Blr'!$B$51:$B$88,'Format-Blr'!AK$51:AK$88)</f>
        <v>0</v>
      </c>
      <c r="AK20" s="45">
        <f>_xlfn.XLOOKUP(B20,'Format-Blr'!$B$51:$B$88,'Format-Blr'!AL$51:AL$88)</f>
        <v>0</v>
      </c>
      <c r="AL20" s="45">
        <f>_xlfn.XLOOKUP(B20,'Format-Blr'!$B$51:$B$88,'Format-Blr'!AR$51:AR$88)</f>
        <v>0</v>
      </c>
      <c r="AM20" s="45">
        <f>_xlfn.XLOOKUP(B20,'Format-Blr'!$B$51:$B$88,'Format-Blr'!AS$51:AS$88)</f>
        <v>0</v>
      </c>
      <c r="AN20" s="45">
        <f>_xlfn.XLOOKUP(B20,'Format-Blr'!$B$51:$B$88,'Format-Blr'!AY$51:AY$88)</f>
        <v>0</v>
      </c>
      <c r="AO20" s="45">
        <f>_xlfn.XLOOKUP(B20,'Format-Blr'!$B$51:$B$88,'Format-Blr'!AZ$51:AZ$88)</f>
        <v>0</v>
      </c>
      <c r="AP20" s="45">
        <f>_xlfn.XLOOKUP(B20,'Format-Blr'!$B$51:$B$88,'Format-Blr'!BF$51:BF$88)</f>
        <v>0</v>
      </c>
      <c r="AQ20" s="45">
        <f>_xlfn.XLOOKUP(B20,'Format-Blr'!$B$51:$B$88,'Format-Blr'!BG$51:BG$88)</f>
        <v>0</v>
      </c>
      <c r="AR20" s="45">
        <f>_xlfn.XLOOKUP(B20,'Format-Blr'!$B$51:$B$88,'Format-Blr'!BM$51:BM$88)</f>
        <v>0</v>
      </c>
      <c r="AS20" s="45">
        <f>_xlfn.XLOOKUP(B20,'Format-Blr'!$B$51:$B$88,'Format-Blr'!BN$51:BN$88)</f>
        <v>0</v>
      </c>
      <c r="AT20" s="45">
        <f>_xlfn.XLOOKUP(B20,'Format-Blr'!$B$51:$B$88,'Format-Blr'!BT$51:BT$88)</f>
        <v>0</v>
      </c>
      <c r="AU20" s="45">
        <f>_xlfn.XLOOKUP(B20,'Format-Blr'!$B$51:$B$88,'Format-Blr'!BU$51:BU$88)</f>
        <v>0</v>
      </c>
      <c r="AV20" s="34">
        <f t="shared" si="4"/>
        <v>0</v>
      </c>
      <c r="AW20" s="34">
        <f t="shared" si="5"/>
        <v>0</v>
      </c>
      <c r="AX20" s="38" t="e">
        <f t="shared" si="15"/>
        <v>#DIV/0!</v>
      </c>
      <c r="AY20" s="37">
        <f>_xlfn.XLOOKUP(B20,'Format-Blr'!B$51:B$88,'Format-Blr'!CF$51:CF$88)</f>
        <v>0</v>
      </c>
      <c r="AZ20" s="34">
        <f>_xlfn.XLOOKUP(B20,'Format-Blr'!B$51:B$88,'Format-Blr'!CG$51:CG$88)</f>
        <v>0</v>
      </c>
      <c r="BA20" s="35" t="e">
        <f t="shared" si="16"/>
        <v>#DIV/0!</v>
      </c>
      <c r="BB20" s="37">
        <f>_xlfn.XLOOKUP(B20,'Format-Blr'!$B$7:$B$44,'Format-Blr'!CF$7:CF$44)</f>
        <v>0</v>
      </c>
      <c r="BC20" s="34">
        <f>_xlfn.XLOOKUP(B20,'Format-Blr'!$B$7:$B$44,'Format-Blr'!CG$7:CG$44)</f>
        <v>0</v>
      </c>
      <c r="BD20" s="34">
        <f>_xlfn.XLOOKUP(B20,'Format-Blr'!$B$7:$B$44,'Format-Blr'!CI$7:CI$44)</f>
        <v>0</v>
      </c>
      <c r="BE20" s="34">
        <f>_xlfn.XLOOKUP(B20,'Format-Blr'!$B$7:$B$44,'Format-Blr'!CJ$7:CJ$44)</f>
        <v>0</v>
      </c>
      <c r="BF20" s="34">
        <f>_xlfn.XLOOKUP(B20,'Format-Blr'!$B$7:$B$44,'Format-Blr'!CL$7:CL$44)</f>
        <v>0</v>
      </c>
      <c r="BG20" s="34">
        <f>_xlfn.XLOOKUP(B20,'Format-Blr'!$B$7:$B$44,'Format-Blr'!CM$7:CM$44)</f>
        <v>0</v>
      </c>
      <c r="BH20" s="34">
        <f>_xlfn.XLOOKUP(B20,'Format-Blr'!$B$7:$B$44,'Format-Blr'!CO$7:CO$44)</f>
        <v>0</v>
      </c>
      <c r="BI20" s="52">
        <f>_xlfn.XLOOKUP(B20,'Format-Blr'!$B$7:$B$44,'Format-Blr'!CP$7:CP$44)</f>
        <v>0</v>
      </c>
      <c r="BJ20" s="37">
        <f t="shared" si="17"/>
        <v>0</v>
      </c>
      <c r="BK20" s="34">
        <f t="shared" si="18"/>
        <v>0</v>
      </c>
      <c r="BL20" s="38" t="e">
        <f t="shared" si="19"/>
        <v>#DIV/0!</v>
      </c>
      <c r="BN20" s="37">
        <f t="shared" si="10"/>
        <v>127</v>
      </c>
      <c r="BO20" s="34">
        <f t="shared" si="11"/>
        <v>102</v>
      </c>
      <c r="BP20" s="38">
        <f t="shared" si="12"/>
        <v>80.314960629921259</v>
      </c>
    </row>
    <row r="21" spans="1:68" s="9" customFormat="1" ht="21" customHeight="1" x14ac:dyDescent="0.25">
      <c r="A21" s="46" t="s">
        <v>23</v>
      </c>
      <c r="B21" s="55" t="s">
        <v>47</v>
      </c>
      <c r="C21" s="50" t="s">
        <v>17</v>
      </c>
      <c r="D21" s="49" t="s">
        <v>18</v>
      </c>
      <c r="E21" s="44">
        <f>_xlfn.XLOOKUP(B21,'Format-Blr'!$B$7:$B$44,'Format-Blr'!I$7:I$44)</f>
        <v>0</v>
      </c>
      <c r="F21" s="45">
        <f>_xlfn.XLOOKUP(B21,'Format-Blr'!$B$7:$B$44,'Format-Blr'!J$7:J$44)</f>
        <v>0</v>
      </c>
      <c r="G21" s="45">
        <f>_xlfn.XLOOKUP(B21,'Format-Blr'!$B$7:$B$44,'Format-Blr'!P$7:P$44)</f>
        <v>0</v>
      </c>
      <c r="H21" s="45">
        <f>_xlfn.XLOOKUP(B21,'Format-Blr'!$B$7:$B$44,'Format-Blr'!Q$7:Q$44)</f>
        <v>0</v>
      </c>
      <c r="I21" s="45">
        <f>_xlfn.XLOOKUP(B21,'Format-Blr'!$B$7:$B$44,'Format-Blr'!W$7:W$44)</f>
        <v>39</v>
      </c>
      <c r="J21" s="45">
        <f>_xlfn.XLOOKUP(B21,'Format-Blr'!$B$7:$B$44,'Format-Blr'!X$7:X$44)</f>
        <v>37</v>
      </c>
      <c r="K21" s="45">
        <f>_xlfn.XLOOKUP(B21,'Format-Blr'!$B$7:$B$44,'Format-Blr'!AD$7:AD$44)</f>
        <v>0</v>
      </c>
      <c r="L21" s="45">
        <f>_xlfn.XLOOKUP(B21,'Format-Blr'!$B$7:$B$44,'Format-Blr'!AE$7:AE$44)</f>
        <v>0</v>
      </c>
      <c r="M21" s="45">
        <f>_xlfn.XLOOKUP(B21,'Format-Blr'!$B$7:$B$44,'Format-Blr'!AK$7:AK$44)</f>
        <v>41</v>
      </c>
      <c r="N21" s="45">
        <f>_xlfn.XLOOKUP(B21,'Format-Blr'!$B$7:$B$44,'Format-Blr'!AL$7:AL$44)</f>
        <v>39</v>
      </c>
      <c r="O21" s="45">
        <f>_xlfn.XLOOKUP(B21,'Format-Blr'!$B$7:$B$44,'Format-Blr'!AR$7:AR$44)</f>
        <v>45</v>
      </c>
      <c r="P21" s="45">
        <f>_xlfn.XLOOKUP(B21,'Format-Blr'!$B$7:$B$44,'Format-Blr'!AS$7:AS$44)</f>
        <v>40</v>
      </c>
      <c r="Q21" s="45">
        <f>_xlfn.XLOOKUP(B21,'Format-Blr'!$B$7:$B$44,'Format-Blr'!AY$7:AY$44)</f>
        <v>164</v>
      </c>
      <c r="R21" s="45">
        <f>_xlfn.XLOOKUP(B21,'Format-Blr'!$B$7:$B$44,'Format-Blr'!AZ$7:AZ$44)</f>
        <v>157</v>
      </c>
      <c r="S21" s="45">
        <f>_xlfn.XLOOKUP(B21,'Format-Blr'!$B$7:$B$44,'Format-Blr'!BF$7:BF$44)</f>
        <v>109</v>
      </c>
      <c r="T21" s="45">
        <f>_xlfn.XLOOKUP(B21,'Format-Blr'!$B$7:$B$44,'Format-Blr'!BG$7:BG$44)</f>
        <v>102</v>
      </c>
      <c r="U21" s="45">
        <f>_xlfn.XLOOKUP(B21,'Format-Blr'!$B$7:$B$44,'Format-Blr'!BM$7:BM$44)</f>
        <v>0</v>
      </c>
      <c r="V21" s="45">
        <f>_xlfn.XLOOKUP(B21,'Format-Blr'!$B$7:$B$44,'Format-Blr'!BN$7:BN$44)</f>
        <v>0</v>
      </c>
      <c r="W21" s="45">
        <f>_xlfn.XLOOKUP(B21,'Format-Blr'!$B$7:$B$44,'Format-Blr'!BT$7:BT$44)</f>
        <v>49</v>
      </c>
      <c r="X21" s="45">
        <f>_xlfn.XLOOKUP(B21,'Format-Blr'!$B$7:$B$44,'Format-Blr'!BU$7:BU$44)</f>
        <v>45</v>
      </c>
      <c r="Y21" s="34">
        <f t="shared" si="1"/>
        <v>447</v>
      </c>
      <c r="Z21" s="34">
        <f t="shared" si="2"/>
        <v>420</v>
      </c>
      <c r="AA21" s="38">
        <f t="shared" si="3"/>
        <v>93.959731543624159</v>
      </c>
      <c r="AB21" s="44">
        <f>_xlfn.XLOOKUP(B21,'Format-Blr'!$B$51:$B$88,'Format-Blr'!I$51:I$88)</f>
        <v>0</v>
      </c>
      <c r="AC21" s="45">
        <f>_xlfn.XLOOKUP(B21,'Format-Blr'!$B$51:$B$88,'Format-Blr'!J$51:J$88)</f>
        <v>0</v>
      </c>
      <c r="AD21" s="45">
        <f>_xlfn.XLOOKUP(B21,'Format-Blr'!$B$51:$B$88,'Format-Blr'!P$51:P$88)</f>
        <v>0</v>
      </c>
      <c r="AE21" s="45">
        <f>_xlfn.XLOOKUP(B21,'Format-Blr'!$B$51:$B$88,'Format-Blr'!Q$51:Q$88)</f>
        <v>0</v>
      </c>
      <c r="AF21" s="45">
        <f>_xlfn.XLOOKUP(B21,'Format-Blr'!$B$51:$B$88,'Format-Blr'!W$51:W$88)</f>
        <v>45</v>
      </c>
      <c r="AG21" s="45">
        <f>_xlfn.XLOOKUP(B21,'Format-Blr'!$B$51:$B$88,'Format-Blr'!X$51:X$88)</f>
        <v>16</v>
      </c>
      <c r="AH21" s="45">
        <f>_xlfn.XLOOKUP(B21,'Format-Blr'!$B$51:$B$88,'Format-Blr'!AD$51:AD$88)</f>
        <v>0</v>
      </c>
      <c r="AI21" s="45">
        <f>_xlfn.XLOOKUP(B21,'Format-Blr'!$B$51:$B$88,'Format-Blr'!AE$51:AE$88)</f>
        <v>0</v>
      </c>
      <c r="AJ21" s="45">
        <f>_xlfn.XLOOKUP(B21,'Format-Blr'!$B$51:$B$88,'Format-Blr'!AK$51:AK$88)</f>
        <v>0</v>
      </c>
      <c r="AK21" s="45">
        <f>_xlfn.XLOOKUP(B21,'Format-Blr'!$B$51:$B$88,'Format-Blr'!AL$51:AL$88)</f>
        <v>0</v>
      </c>
      <c r="AL21" s="45">
        <f>_xlfn.XLOOKUP(B21,'Format-Blr'!$B$51:$B$88,'Format-Blr'!AR$51:AR$88)</f>
        <v>128</v>
      </c>
      <c r="AM21" s="45">
        <f>_xlfn.XLOOKUP(B21,'Format-Blr'!$B$51:$B$88,'Format-Blr'!AS$51:AS$88)</f>
        <v>32</v>
      </c>
      <c r="AN21" s="45">
        <f>_xlfn.XLOOKUP(B21,'Format-Blr'!$B$51:$B$88,'Format-Blr'!AY$51:AY$88)</f>
        <v>286</v>
      </c>
      <c r="AO21" s="45">
        <f>_xlfn.XLOOKUP(B21,'Format-Blr'!$B$51:$B$88,'Format-Blr'!AZ$51:AZ$88)</f>
        <v>128</v>
      </c>
      <c r="AP21" s="45">
        <f>_xlfn.XLOOKUP(B21,'Format-Blr'!$B$51:$B$88,'Format-Blr'!BF$51:BF$88)</f>
        <v>0</v>
      </c>
      <c r="AQ21" s="45">
        <f>_xlfn.XLOOKUP(B21,'Format-Blr'!$B$51:$B$88,'Format-Blr'!BG$51:BG$88)</f>
        <v>0</v>
      </c>
      <c r="AR21" s="45">
        <f>_xlfn.XLOOKUP(B21,'Format-Blr'!$B$51:$B$88,'Format-Blr'!BM$51:BM$88)</f>
        <v>65</v>
      </c>
      <c r="AS21" s="45">
        <f>_xlfn.XLOOKUP(B21,'Format-Blr'!$B$51:$B$88,'Format-Blr'!BN$51:BN$88)</f>
        <v>24</v>
      </c>
      <c r="AT21" s="45">
        <f>_xlfn.XLOOKUP(B21,'Format-Blr'!$B$51:$B$88,'Format-Blr'!BT$51:BT$88)</f>
        <v>0</v>
      </c>
      <c r="AU21" s="45">
        <f>_xlfn.XLOOKUP(B21,'Format-Blr'!$B$51:$B$88,'Format-Blr'!BU$51:BU$88)</f>
        <v>0</v>
      </c>
      <c r="AV21" s="34">
        <f t="shared" si="4"/>
        <v>524</v>
      </c>
      <c r="AW21" s="34">
        <f t="shared" si="5"/>
        <v>200</v>
      </c>
      <c r="AX21" s="38">
        <f t="shared" si="15"/>
        <v>38.167938931297712</v>
      </c>
      <c r="AY21" s="37">
        <f>_xlfn.XLOOKUP(B21,'Format-Blr'!B$51:B$88,'Format-Blr'!CF$51:CF$88)</f>
        <v>72</v>
      </c>
      <c r="AZ21" s="34">
        <f>_xlfn.XLOOKUP(B21,'Format-Blr'!B$51:B$88,'Format-Blr'!CG$51:CG$88)</f>
        <v>64</v>
      </c>
      <c r="BA21" s="35">
        <f t="shared" si="16"/>
        <v>88.888888888888886</v>
      </c>
      <c r="BB21" s="37">
        <f>_xlfn.XLOOKUP(B21,'Format-Blr'!$B$7:$B$44,'Format-Blr'!CF$7:CF$44)</f>
        <v>0</v>
      </c>
      <c r="BC21" s="34">
        <f>_xlfn.XLOOKUP(B21,'Format-Blr'!$B$7:$B$44,'Format-Blr'!CG$7:CG$44)</f>
        <v>0</v>
      </c>
      <c r="BD21" s="34">
        <f>_xlfn.XLOOKUP(B21,'Format-Blr'!$B$7:$B$44,'Format-Blr'!CI$7:CI$44)</f>
        <v>0</v>
      </c>
      <c r="BE21" s="34">
        <f>_xlfn.XLOOKUP(B21,'Format-Blr'!$B$7:$B$44,'Format-Blr'!CJ$7:CJ$44)</f>
        <v>0</v>
      </c>
      <c r="BF21" s="34">
        <f>_xlfn.XLOOKUP(B21,'Format-Blr'!$B$7:$B$44,'Format-Blr'!CL$7:CL$44)</f>
        <v>0</v>
      </c>
      <c r="BG21" s="34">
        <f>_xlfn.XLOOKUP(B21,'Format-Blr'!$B$7:$B$44,'Format-Blr'!CM$7:CM$44)</f>
        <v>0</v>
      </c>
      <c r="BH21" s="34">
        <f>_xlfn.XLOOKUP(B21,'Format-Blr'!$B$7:$B$44,'Format-Blr'!CO$7:CO$44)</f>
        <v>0</v>
      </c>
      <c r="BI21" s="52">
        <f>_xlfn.XLOOKUP(B21,'Format-Blr'!$B$7:$B$44,'Format-Blr'!CP$7:CP$44)</f>
        <v>0</v>
      </c>
      <c r="BJ21" s="37">
        <f t="shared" si="17"/>
        <v>0</v>
      </c>
      <c r="BK21" s="34">
        <f t="shared" si="18"/>
        <v>0</v>
      </c>
      <c r="BL21" s="38" t="e">
        <f t="shared" si="19"/>
        <v>#DIV/0!</v>
      </c>
      <c r="BN21" s="37">
        <f t="shared" si="10"/>
        <v>1043</v>
      </c>
      <c r="BO21" s="34">
        <f t="shared" si="11"/>
        <v>684</v>
      </c>
      <c r="BP21" s="38">
        <f t="shared" si="12"/>
        <v>65.580057526366247</v>
      </c>
    </row>
    <row r="22" spans="1:68" s="9" customFormat="1" ht="21" customHeight="1" x14ac:dyDescent="0.25">
      <c r="A22" s="46" t="s">
        <v>23</v>
      </c>
      <c r="B22" s="55" t="s">
        <v>48</v>
      </c>
      <c r="C22" s="50" t="s">
        <v>15</v>
      </c>
      <c r="D22" s="49" t="s">
        <v>16</v>
      </c>
      <c r="E22" s="44">
        <f>_xlfn.XLOOKUP(B22,'Format-Blr'!$B$7:$B$44,'Format-Blr'!I$7:I$44)</f>
        <v>0</v>
      </c>
      <c r="F22" s="45">
        <f>_xlfn.XLOOKUP(B22,'Format-Blr'!$B$7:$B$44,'Format-Blr'!J$7:J$44)</f>
        <v>0</v>
      </c>
      <c r="G22" s="45">
        <f>_xlfn.XLOOKUP(B22,'Format-Blr'!$B$7:$B$44,'Format-Blr'!P$7:P$44)</f>
        <v>49</v>
      </c>
      <c r="H22" s="45">
        <f>_xlfn.XLOOKUP(B22,'Format-Blr'!$B$7:$B$44,'Format-Blr'!Q$7:Q$44)</f>
        <v>41</v>
      </c>
      <c r="I22" s="45">
        <f>_xlfn.XLOOKUP(B22,'Format-Blr'!$B$7:$B$44,'Format-Blr'!W$7:W$44)</f>
        <v>52</v>
      </c>
      <c r="J22" s="45">
        <f>_xlfn.XLOOKUP(B22,'Format-Blr'!$B$7:$B$44,'Format-Blr'!X$7:X$44)</f>
        <v>48</v>
      </c>
      <c r="K22" s="45">
        <f>_xlfn.XLOOKUP(B22,'Format-Blr'!$B$7:$B$44,'Format-Blr'!AD$7:AD$44)</f>
        <v>0</v>
      </c>
      <c r="L22" s="45">
        <f>_xlfn.XLOOKUP(B22,'Format-Blr'!$B$7:$B$44,'Format-Blr'!AE$7:AE$44)</f>
        <v>0</v>
      </c>
      <c r="M22" s="45">
        <f>_xlfn.XLOOKUP(B22,'Format-Blr'!$B$7:$B$44,'Format-Blr'!AK$7:AK$44)</f>
        <v>49</v>
      </c>
      <c r="N22" s="45">
        <f>_xlfn.XLOOKUP(B22,'Format-Blr'!$B$7:$B$44,'Format-Blr'!AL$7:AL$44)</f>
        <v>43</v>
      </c>
      <c r="O22" s="45">
        <f>_xlfn.XLOOKUP(B22,'Format-Blr'!$B$7:$B$44,'Format-Blr'!AR$7:AR$44)</f>
        <v>37</v>
      </c>
      <c r="P22" s="45">
        <f>_xlfn.XLOOKUP(B22,'Format-Blr'!$B$7:$B$44,'Format-Blr'!AS$7:AS$44)</f>
        <v>25</v>
      </c>
      <c r="Q22" s="45">
        <f>_xlfn.XLOOKUP(B22,'Format-Blr'!$B$7:$B$44,'Format-Blr'!AY$7:AY$44)</f>
        <v>72</v>
      </c>
      <c r="R22" s="45">
        <f>_xlfn.XLOOKUP(B22,'Format-Blr'!$B$7:$B$44,'Format-Blr'!AZ$7:AZ$44)</f>
        <v>63</v>
      </c>
      <c r="S22" s="45">
        <f>_xlfn.XLOOKUP(B22,'Format-Blr'!$B$7:$B$44,'Format-Blr'!BF$7:BF$44)</f>
        <v>30</v>
      </c>
      <c r="T22" s="45">
        <f>_xlfn.XLOOKUP(B22,'Format-Blr'!$B$7:$B$44,'Format-Blr'!BG$7:BG$44)</f>
        <v>21</v>
      </c>
      <c r="U22" s="45">
        <f>_xlfn.XLOOKUP(B22,'Format-Blr'!$B$7:$B$44,'Format-Blr'!BM$7:BM$44)</f>
        <v>0</v>
      </c>
      <c r="V22" s="45">
        <f>_xlfn.XLOOKUP(B22,'Format-Blr'!$B$7:$B$44,'Format-Blr'!BN$7:BN$44)</f>
        <v>0</v>
      </c>
      <c r="W22" s="45">
        <f>_xlfn.XLOOKUP(B22,'Format-Blr'!$B$7:$B$44,'Format-Blr'!BT$7:BT$44)</f>
        <v>0</v>
      </c>
      <c r="X22" s="45">
        <f>_xlfn.XLOOKUP(B22,'Format-Blr'!$B$7:$B$44,'Format-Blr'!BU$7:BU$44)</f>
        <v>0</v>
      </c>
      <c r="Y22" s="34">
        <f t="shared" si="1"/>
        <v>289</v>
      </c>
      <c r="Z22" s="34">
        <f t="shared" si="2"/>
        <v>241</v>
      </c>
      <c r="AA22" s="38">
        <f t="shared" si="3"/>
        <v>83.391003460207614</v>
      </c>
      <c r="AB22" s="44">
        <f>_xlfn.XLOOKUP(B22,'Format-Blr'!$B$51:$B$88,'Format-Blr'!I$51:I$88)</f>
        <v>0</v>
      </c>
      <c r="AC22" s="45">
        <f>_xlfn.XLOOKUP(B22,'Format-Blr'!$B$51:$B$88,'Format-Blr'!J$51:J$88)</f>
        <v>0</v>
      </c>
      <c r="AD22" s="45">
        <f>_xlfn.XLOOKUP(B22,'Format-Blr'!$B$51:$B$88,'Format-Blr'!P$51:P$88)</f>
        <v>37</v>
      </c>
      <c r="AE22" s="45">
        <f>_xlfn.XLOOKUP(B22,'Format-Blr'!$B$51:$B$88,'Format-Blr'!Q$51:Q$88)</f>
        <v>0</v>
      </c>
      <c r="AF22" s="45">
        <f>_xlfn.XLOOKUP(B22,'Format-Blr'!$B$51:$B$88,'Format-Blr'!W$51:W$88)</f>
        <v>43</v>
      </c>
      <c r="AG22" s="45">
        <f>_xlfn.XLOOKUP(B22,'Format-Blr'!$B$51:$B$88,'Format-Blr'!X$51:X$88)</f>
        <v>17</v>
      </c>
      <c r="AH22" s="45">
        <f>_xlfn.XLOOKUP(B22,'Format-Blr'!$B$51:$B$88,'Format-Blr'!AD$51:AD$88)</f>
        <v>0</v>
      </c>
      <c r="AI22" s="45">
        <f>_xlfn.XLOOKUP(B22,'Format-Blr'!$B$51:$B$88,'Format-Blr'!AE$51:AE$88)</f>
        <v>0</v>
      </c>
      <c r="AJ22" s="45">
        <f>_xlfn.XLOOKUP(B22,'Format-Blr'!$B$51:$B$88,'Format-Blr'!AK$51:AK$88)</f>
        <v>71</v>
      </c>
      <c r="AK22" s="45">
        <f>_xlfn.XLOOKUP(B22,'Format-Blr'!$B$51:$B$88,'Format-Blr'!AL$51:AL$88)</f>
        <v>2</v>
      </c>
      <c r="AL22" s="45">
        <f>_xlfn.XLOOKUP(B22,'Format-Blr'!$B$51:$B$88,'Format-Blr'!AR$51:AR$88)</f>
        <v>76</v>
      </c>
      <c r="AM22" s="45">
        <f>_xlfn.XLOOKUP(B22,'Format-Blr'!$B$51:$B$88,'Format-Blr'!AS$51:AS$88)</f>
        <v>0</v>
      </c>
      <c r="AN22" s="45">
        <f>_xlfn.XLOOKUP(B22,'Format-Blr'!$B$51:$B$88,'Format-Blr'!AY$51:AY$88)</f>
        <v>57</v>
      </c>
      <c r="AO22" s="45">
        <f>_xlfn.XLOOKUP(B22,'Format-Blr'!$B$51:$B$88,'Format-Blr'!AZ$51:AZ$88)</f>
        <v>15</v>
      </c>
      <c r="AP22" s="45">
        <f>_xlfn.XLOOKUP(B22,'Format-Blr'!$B$51:$B$88,'Format-Blr'!BF$51:BF$88)</f>
        <v>0</v>
      </c>
      <c r="AQ22" s="45">
        <f>_xlfn.XLOOKUP(B22,'Format-Blr'!$B$51:$B$88,'Format-Blr'!BG$51:BG$88)</f>
        <v>0</v>
      </c>
      <c r="AR22" s="45">
        <f>_xlfn.XLOOKUP(B22,'Format-Blr'!$B$51:$B$88,'Format-Blr'!BM$51:BM$88)</f>
        <v>37</v>
      </c>
      <c r="AS22" s="45">
        <f>_xlfn.XLOOKUP(B22,'Format-Blr'!$B$51:$B$88,'Format-Blr'!BN$51:BN$88)</f>
        <v>2</v>
      </c>
      <c r="AT22" s="45">
        <f>_xlfn.XLOOKUP(B22,'Format-Blr'!$B$51:$B$88,'Format-Blr'!BT$51:BT$88)</f>
        <v>47</v>
      </c>
      <c r="AU22" s="45">
        <f>_xlfn.XLOOKUP(B22,'Format-Blr'!$B$51:$B$88,'Format-Blr'!BU$51:BU$88)</f>
        <v>0</v>
      </c>
      <c r="AV22" s="34">
        <f t="shared" si="4"/>
        <v>368</v>
      </c>
      <c r="AW22" s="34">
        <f t="shared" si="5"/>
        <v>36</v>
      </c>
      <c r="AX22" s="38">
        <f t="shared" si="15"/>
        <v>9.7826086956521738</v>
      </c>
      <c r="AY22" s="37">
        <f>_xlfn.XLOOKUP(B22,'Format-Blr'!B$51:B$88,'Format-Blr'!CF$51:CF$88)</f>
        <v>0</v>
      </c>
      <c r="AZ22" s="34">
        <f>_xlfn.XLOOKUP(B22,'Format-Blr'!B$51:B$88,'Format-Blr'!CG$51:CG$88)</f>
        <v>0</v>
      </c>
      <c r="BA22" s="35" t="e">
        <f t="shared" si="16"/>
        <v>#DIV/0!</v>
      </c>
      <c r="BB22" s="37">
        <f>_xlfn.XLOOKUP(B22,'Format-Blr'!$B$7:$B$44,'Format-Blr'!CF$7:CF$44)</f>
        <v>0</v>
      </c>
      <c r="BC22" s="34">
        <f>_xlfn.XLOOKUP(B22,'Format-Blr'!$B$7:$B$44,'Format-Blr'!CG$7:CG$44)</f>
        <v>0</v>
      </c>
      <c r="BD22" s="34">
        <f>_xlfn.XLOOKUP(B22,'Format-Blr'!$B$7:$B$44,'Format-Blr'!CI$7:CI$44)</f>
        <v>0</v>
      </c>
      <c r="BE22" s="34">
        <f>_xlfn.XLOOKUP(B22,'Format-Blr'!$B$7:$B$44,'Format-Blr'!CJ$7:CJ$44)</f>
        <v>0</v>
      </c>
      <c r="BF22" s="34">
        <f>_xlfn.XLOOKUP(B22,'Format-Blr'!$B$7:$B$44,'Format-Blr'!CL$7:CL$44)</f>
        <v>0</v>
      </c>
      <c r="BG22" s="34">
        <f>_xlfn.XLOOKUP(B22,'Format-Blr'!$B$7:$B$44,'Format-Blr'!CM$7:CM$44)</f>
        <v>0</v>
      </c>
      <c r="BH22" s="34">
        <f>_xlfn.XLOOKUP(B22,'Format-Blr'!$B$7:$B$44,'Format-Blr'!CO$7:CO$44)</f>
        <v>0</v>
      </c>
      <c r="BI22" s="52">
        <f>_xlfn.XLOOKUP(B22,'Format-Blr'!$B$7:$B$44,'Format-Blr'!CP$7:CP$44)</f>
        <v>0</v>
      </c>
      <c r="BJ22" s="37">
        <f t="shared" si="17"/>
        <v>0</v>
      </c>
      <c r="BK22" s="34">
        <f t="shared" si="18"/>
        <v>0</v>
      </c>
      <c r="BL22" s="38" t="e">
        <f t="shared" si="19"/>
        <v>#DIV/0!</v>
      </c>
      <c r="BN22" s="37">
        <f t="shared" si="10"/>
        <v>657</v>
      </c>
      <c r="BO22" s="34">
        <f t="shared" si="11"/>
        <v>277</v>
      </c>
      <c r="BP22" s="38">
        <f t="shared" si="12"/>
        <v>42.161339421613391</v>
      </c>
    </row>
    <row r="23" spans="1:68" s="9" customFormat="1" ht="21" customHeight="1" x14ac:dyDescent="0.25">
      <c r="A23" s="46" t="s">
        <v>23</v>
      </c>
      <c r="B23" s="55" t="s">
        <v>50</v>
      </c>
      <c r="C23" s="50" t="s">
        <v>17</v>
      </c>
      <c r="D23" s="49" t="s">
        <v>19</v>
      </c>
      <c r="E23" s="44">
        <f>_xlfn.XLOOKUP(B23,'Format-Blr'!$B$7:$B$44,'Format-Blr'!I$7:I$44)</f>
        <v>0</v>
      </c>
      <c r="F23" s="45">
        <f>_xlfn.XLOOKUP(B23,'Format-Blr'!$B$7:$B$44,'Format-Blr'!J$7:J$44)</f>
        <v>0</v>
      </c>
      <c r="G23" s="45">
        <f>_xlfn.XLOOKUP(B23,'Format-Blr'!$B$7:$B$44,'Format-Blr'!P$7:P$44)</f>
        <v>0</v>
      </c>
      <c r="H23" s="45">
        <f>_xlfn.XLOOKUP(B23,'Format-Blr'!$B$7:$B$44,'Format-Blr'!Q$7:Q$44)</f>
        <v>0</v>
      </c>
      <c r="I23" s="45">
        <f>_xlfn.XLOOKUP(B23,'Format-Blr'!$B$7:$B$44,'Format-Blr'!W$7:W$44)</f>
        <v>0</v>
      </c>
      <c r="J23" s="45">
        <f>_xlfn.XLOOKUP(B23,'Format-Blr'!$B$7:$B$44,'Format-Blr'!X$7:X$44)</f>
        <v>0</v>
      </c>
      <c r="K23" s="45">
        <f>_xlfn.XLOOKUP(B23,'Format-Blr'!$B$7:$B$44,'Format-Blr'!AD$7:AD$44)</f>
        <v>0</v>
      </c>
      <c r="L23" s="45">
        <f>_xlfn.XLOOKUP(B23,'Format-Blr'!$B$7:$B$44,'Format-Blr'!AE$7:AE$44)</f>
        <v>0</v>
      </c>
      <c r="M23" s="45">
        <f>_xlfn.XLOOKUP(B23,'Format-Blr'!$B$7:$B$44,'Format-Blr'!AK$7:AK$44)</f>
        <v>0</v>
      </c>
      <c r="N23" s="45">
        <f>_xlfn.XLOOKUP(B23,'Format-Blr'!$B$7:$B$44,'Format-Blr'!AL$7:AL$44)</f>
        <v>0</v>
      </c>
      <c r="O23" s="45">
        <f>_xlfn.XLOOKUP(B23,'Format-Blr'!$B$7:$B$44,'Format-Blr'!AR$7:AR$44)</f>
        <v>0</v>
      </c>
      <c r="P23" s="45">
        <f>_xlfn.XLOOKUP(B23,'Format-Blr'!$B$7:$B$44,'Format-Blr'!AS$7:AS$44)</f>
        <v>0</v>
      </c>
      <c r="Q23" s="45">
        <f>_xlfn.XLOOKUP(B23,'Format-Blr'!$B$7:$B$44,'Format-Blr'!AY$7:AY$44)</f>
        <v>198</v>
      </c>
      <c r="R23" s="45">
        <f>_xlfn.XLOOKUP(B23,'Format-Blr'!$B$7:$B$44,'Format-Blr'!AZ$7:AZ$44)</f>
        <v>189</v>
      </c>
      <c r="S23" s="45">
        <f>_xlfn.XLOOKUP(B23,'Format-Blr'!$B$7:$B$44,'Format-Blr'!BF$7:BF$44)</f>
        <v>0</v>
      </c>
      <c r="T23" s="45">
        <f>_xlfn.XLOOKUP(B23,'Format-Blr'!$B$7:$B$44,'Format-Blr'!BG$7:BG$44)</f>
        <v>0</v>
      </c>
      <c r="U23" s="45">
        <f>_xlfn.XLOOKUP(B23,'Format-Blr'!$B$7:$B$44,'Format-Blr'!BM$7:BM$44)</f>
        <v>0</v>
      </c>
      <c r="V23" s="45">
        <f>_xlfn.XLOOKUP(B23,'Format-Blr'!$B$7:$B$44,'Format-Blr'!BN$7:BN$44)</f>
        <v>0</v>
      </c>
      <c r="W23" s="45">
        <f>_xlfn.XLOOKUP(B23,'Format-Blr'!$B$7:$B$44,'Format-Blr'!BT$7:BT$44)</f>
        <v>48</v>
      </c>
      <c r="X23" s="45">
        <f>_xlfn.XLOOKUP(B23,'Format-Blr'!$B$7:$B$44,'Format-Blr'!BU$7:BU$44)</f>
        <v>47</v>
      </c>
      <c r="Y23" s="34">
        <f t="shared" si="1"/>
        <v>246</v>
      </c>
      <c r="Z23" s="34">
        <f t="shared" si="2"/>
        <v>236</v>
      </c>
      <c r="AA23" s="38">
        <f t="shared" si="3"/>
        <v>95.934959349593498</v>
      </c>
      <c r="AB23" s="44">
        <f>_xlfn.XLOOKUP(B23,'Format-Blr'!$B$51:$B$88,'Format-Blr'!I$51:I$88)</f>
        <v>0</v>
      </c>
      <c r="AC23" s="45">
        <f>_xlfn.XLOOKUP(B23,'Format-Blr'!$B$51:$B$88,'Format-Blr'!J$51:J$88)</f>
        <v>0</v>
      </c>
      <c r="AD23" s="45">
        <f>_xlfn.XLOOKUP(B23,'Format-Blr'!$B$51:$B$88,'Format-Blr'!P$51:P$88)</f>
        <v>0</v>
      </c>
      <c r="AE23" s="45">
        <f>_xlfn.XLOOKUP(B23,'Format-Blr'!$B$51:$B$88,'Format-Blr'!Q$51:Q$88)</f>
        <v>0</v>
      </c>
      <c r="AF23" s="45">
        <f>_xlfn.XLOOKUP(B23,'Format-Blr'!$B$51:$B$88,'Format-Blr'!W$51:W$88)</f>
        <v>0</v>
      </c>
      <c r="AG23" s="45">
        <f>_xlfn.XLOOKUP(B23,'Format-Blr'!$B$51:$B$88,'Format-Blr'!X$51:X$88)</f>
        <v>0</v>
      </c>
      <c r="AH23" s="45">
        <f>_xlfn.XLOOKUP(B23,'Format-Blr'!$B$51:$B$88,'Format-Blr'!AD$51:AD$88)</f>
        <v>0</v>
      </c>
      <c r="AI23" s="45">
        <f>_xlfn.XLOOKUP(B23,'Format-Blr'!$B$51:$B$88,'Format-Blr'!AE$51:AE$88)</f>
        <v>0</v>
      </c>
      <c r="AJ23" s="45">
        <f>_xlfn.XLOOKUP(B23,'Format-Blr'!$B$51:$B$88,'Format-Blr'!AK$51:AK$88)</f>
        <v>0</v>
      </c>
      <c r="AK23" s="45">
        <f>_xlfn.XLOOKUP(B23,'Format-Blr'!$B$51:$B$88,'Format-Blr'!AL$51:AL$88)</f>
        <v>0</v>
      </c>
      <c r="AL23" s="45">
        <f>_xlfn.XLOOKUP(B23,'Format-Blr'!$B$51:$B$88,'Format-Blr'!AR$51:AR$88)</f>
        <v>0</v>
      </c>
      <c r="AM23" s="45">
        <f>_xlfn.XLOOKUP(B23,'Format-Blr'!$B$51:$B$88,'Format-Blr'!AS$51:AS$88)</f>
        <v>0</v>
      </c>
      <c r="AN23" s="45">
        <f>_xlfn.XLOOKUP(B23,'Format-Blr'!$B$51:$B$88,'Format-Blr'!AY$51:AY$88)</f>
        <v>141</v>
      </c>
      <c r="AO23" s="45">
        <f>_xlfn.XLOOKUP(B23,'Format-Blr'!$B$51:$B$88,'Format-Blr'!AZ$51:AZ$88)</f>
        <v>116</v>
      </c>
      <c r="AP23" s="45">
        <f>_xlfn.XLOOKUP(B23,'Format-Blr'!$B$51:$B$88,'Format-Blr'!BF$51:BF$88)</f>
        <v>47</v>
      </c>
      <c r="AQ23" s="45">
        <f>_xlfn.XLOOKUP(B23,'Format-Blr'!$B$51:$B$88,'Format-Blr'!BG$51:BG$88)</f>
        <v>22</v>
      </c>
      <c r="AR23" s="45">
        <f>_xlfn.XLOOKUP(B23,'Format-Blr'!$B$51:$B$88,'Format-Blr'!BM$51:BM$88)</f>
        <v>53</v>
      </c>
      <c r="AS23" s="45">
        <f>_xlfn.XLOOKUP(B23,'Format-Blr'!$B$51:$B$88,'Format-Blr'!BN$51:BN$88)</f>
        <v>25</v>
      </c>
      <c r="AT23" s="45">
        <f>_xlfn.XLOOKUP(B23,'Format-Blr'!$B$51:$B$88,'Format-Blr'!BT$51:BT$88)</f>
        <v>54</v>
      </c>
      <c r="AU23" s="45">
        <f>_xlfn.XLOOKUP(B23,'Format-Blr'!$B$51:$B$88,'Format-Blr'!BU$51:BU$88)</f>
        <v>28</v>
      </c>
      <c r="AV23" s="34">
        <f t="shared" si="4"/>
        <v>295</v>
      </c>
      <c r="AW23" s="34">
        <f t="shared" si="5"/>
        <v>191</v>
      </c>
      <c r="AX23" s="38">
        <f t="shared" si="15"/>
        <v>64.745762711864401</v>
      </c>
      <c r="AY23" s="37">
        <f>_xlfn.XLOOKUP(B23,'Format-Blr'!B$51:B$88,'Format-Blr'!CF$51:CF$88)</f>
        <v>38</v>
      </c>
      <c r="AZ23" s="34">
        <f>_xlfn.XLOOKUP(B23,'Format-Blr'!B$51:B$88,'Format-Blr'!CG$51:CG$88)</f>
        <v>37</v>
      </c>
      <c r="BA23" s="35">
        <f t="shared" si="16"/>
        <v>97.368421052631575</v>
      </c>
      <c r="BB23" s="37">
        <f>_xlfn.XLOOKUP(B23,'Format-Blr'!$B$7:$B$44,'Format-Blr'!CF$7:CF$44)</f>
        <v>0</v>
      </c>
      <c r="BC23" s="34">
        <f>_xlfn.XLOOKUP(B23,'Format-Blr'!$B$7:$B$44,'Format-Blr'!CG$7:CG$44)</f>
        <v>0</v>
      </c>
      <c r="BD23" s="34">
        <f>_xlfn.XLOOKUP(B23,'Format-Blr'!$B$7:$B$44,'Format-Blr'!CI$7:CI$44)</f>
        <v>0</v>
      </c>
      <c r="BE23" s="34">
        <f>_xlfn.XLOOKUP(B23,'Format-Blr'!$B$7:$B$44,'Format-Blr'!CJ$7:CJ$44)</f>
        <v>0</v>
      </c>
      <c r="BF23" s="34">
        <f>_xlfn.XLOOKUP(B23,'Format-Blr'!$B$7:$B$44,'Format-Blr'!CL$7:CL$44)</f>
        <v>0</v>
      </c>
      <c r="BG23" s="34">
        <f>_xlfn.XLOOKUP(B23,'Format-Blr'!$B$7:$B$44,'Format-Blr'!CM$7:CM$44)</f>
        <v>0</v>
      </c>
      <c r="BH23" s="34">
        <f>_xlfn.XLOOKUP(B23,'Format-Blr'!$B$7:$B$44,'Format-Blr'!CO$7:CO$44)</f>
        <v>0</v>
      </c>
      <c r="BI23" s="52">
        <f>_xlfn.XLOOKUP(B23,'Format-Blr'!$B$7:$B$44,'Format-Blr'!CP$7:CP$44)</f>
        <v>0</v>
      </c>
      <c r="BJ23" s="37">
        <f t="shared" si="17"/>
        <v>0</v>
      </c>
      <c r="BK23" s="34">
        <f t="shared" si="18"/>
        <v>0</v>
      </c>
      <c r="BL23" s="38" t="e">
        <f t="shared" si="19"/>
        <v>#DIV/0!</v>
      </c>
      <c r="BN23" s="37">
        <f t="shared" si="10"/>
        <v>579</v>
      </c>
      <c r="BO23" s="34">
        <f t="shared" si="11"/>
        <v>464</v>
      </c>
      <c r="BP23" s="38">
        <f t="shared" si="12"/>
        <v>80.138169257340238</v>
      </c>
    </row>
    <row r="24" spans="1:68" s="9" customFormat="1" ht="21" customHeight="1" x14ac:dyDescent="0.25">
      <c r="A24" s="46" t="s">
        <v>23</v>
      </c>
      <c r="B24" s="47" t="s">
        <v>49</v>
      </c>
      <c r="C24" s="50" t="s">
        <v>17</v>
      </c>
      <c r="D24" s="49" t="s">
        <v>16</v>
      </c>
      <c r="E24" s="44">
        <f>_xlfn.XLOOKUP(B24,'Format-Blr'!$B$7:$B$44,'Format-Blr'!I$7:I$44)</f>
        <v>0</v>
      </c>
      <c r="F24" s="45">
        <f>_xlfn.XLOOKUP(B24,'Format-Blr'!$B$7:$B$44,'Format-Blr'!J$7:J$44)</f>
        <v>0</v>
      </c>
      <c r="G24" s="45">
        <f>_xlfn.XLOOKUP(B24,'Format-Blr'!$B$7:$B$44,'Format-Blr'!P$7:P$44)</f>
        <v>86</v>
      </c>
      <c r="H24" s="45">
        <f>_xlfn.XLOOKUP(B24,'Format-Blr'!$B$7:$B$44,'Format-Blr'!Q$7:Q$44)</f>
        <v>83</v>
      </c>
      <c r="I24" s="45">
        <f>_xlfn.XLOOKUP(B24,'Format-Blr'!$B$7:$B$44,'Format-Blr'!W$7:W$44)</f>
        <v>98</v>
      </c>
      <c r="J24" s="45">
        <f>_xlfn.XLOOKUP(B24,'Format-Blr'!$B$7:$B$44,'Format-Blr'!X$7:X$44)</f>
        <v>90</v>
      </c>
      <c r="K24" s="45">
        <f>_xlfn.XLOOKUP(B24,'Format-Blr'!$B$7:$B$44,'Format-Blr'!AD$7:AD$44)</f>
        <v>0</v>
      </c>
      <c r="L24" s="45">
        <f>_xlfn.XLOOKUP(B24,'Format-Blr'!$B$7:$B$44,'Format-Blr'!AE$7:AE$44)</f>
        <v>0</v>
      </c>
      <c r="M24" s="45">
        <f>_xlfn.XLOOKUP(B24,'Format-Blr'!$B$7:$B$44,'Format-Blr'!AK$7:AK$44)</f>
        <v>52</v>
      </c>
      <c r="N24" s="45">
        <f>_xlfn.XLOOKUP(B24,'Format-Blr'!$B$7:$B$44,'Format-Blr'!AL$7:AL$44)</f>
        <v>48</v>
      </c>
      <c r="O24" s="45">
        <f>_xlfn.XLOOKUP(B24,'Format-Blr'!$B$7:$B$44,'Format-Blr'!AR$7:AR$44)</f>
        <v>30</v>
      </c>
      <c r="P24" s="45">
        <f>_xlfn.XLOOKUP(B24,'Format-Blr'!$B$7:$B$44,'Format-Blr'!AS$7:AS$44)</f>
        <v>27</v>
      </c>
      <c r="Q24" s="45">
        <f>_xlfn.XLOOKUP(B24,'Format-Blr'!$B$7:$B$44,'Format-Blr'!AY$7:AY$44)</f>
        <v>0</v>
      </c>
      <c r="R24" s="45">
        <f>_xlfn.XLOOKUP(B24,'Format-Blr'!$B$7:$B$44,'Format-Blr'!AZ$7:AZ$44)</f>
        <v>0</v>
      </c>
      <c r="S24" s="45">
        <f>_xlfn.XLOOKUP(B24,'Format-Blr'!$B$7:$B$44,'Format-Blr'!BF$7:BF$44)</f>
        <v>0</v>
      </c>
      <c r="T24" s="45">
        <f>_xlfn.XLOOKUP(B24,'Format-Blr'!$B$7:$B$44,'Format-Blr'!BG$7:BG$44)</f>
        <v>0</v>
      </c>
      <c r="U24" s="45">
        <f>_xlfn.XLOOKUP(B24,'Format-Blr'!$B$7:$B$44,'Format-Blr'!BM$7:BM$44)</f>
        <v>0</v>
      </c>
      <c r="V24" s="45">
        <f>_xlfn.XLOOKUP(B24,'Format-Blr'!$B$7:$B$44,'Format-Blr'!BN$7:BN$44)</f>
        <v>0</v>
      </c>
      <c r="W24" s="45">
        <f>_xlfn.XLOOKUP(B24,'Format-Blr'!$B$7:$B$44,'Format-Blr'!BT$7:BT$44)</f>
        <v>0</v>
      </c>
      <c r="X24" s="45">
        <f>_xlfn.XLOOKUP(B24,'Format-Blr'!$B$7:$B$44,'Format-Blr'!BU$7:BU$44)</f>
        <v>0</v>
      </c>
      <c r="Y24" s="34">
        <f t="shared" si="1"/>
        <v>266</v>
      </c>
      <c r="Z24" s="34">
        <f t="shared" si="2"/>
        <v>248</v>
      </c>
      <c r="AA24" s="38">
        <f t="shared" si="3"/>
        <v>93.233082706766908</v>
      </c>
      <c r="AB24" s="44">
        <f>_xlfn.XLOOKUP(B24,'Format-Blr'!$B$51:$B$88,'Format-Blr'!I$51:I$88)</f>
        <v>0</v>
      </c>
      <c r="AC24" s="45">
        <f>_xlfn.XLOOKUP(B24,'Format-Blr'!$B$51:$B$88,'Format-Blr'!J$51:J$88)</f>
        <v>0</v>
      </c>
      <c r="AD24" s="45">
        <f>_xlfn.XLOOKUP(B24,'Format-Blr'!$B$51:$B$88,'Format-Blr'!P$51:P$88)</f>
        <v>35</v>
      </c>
      <c r="AE24" s="45">
        <f>_xlfn.XLOOKUP(B24,'Format-Blr'!$B$51:$B$88,'Format-Blr'!Q$51:Q$88)</f>
        <v>15</v>
      </c>
      <c r="AF24" s="45">
        <f>_xlfn.XLOOKUP(B24,'Format-Blr'!$B$51:$B$88,'Format-Blr'!W$51:W$88)</f>
        <v>121</v>
      </c>
      <c r="AG24" s="45">
        <f>_xlfn.XLOOKUP(B24,'Format-Blr'!$B$51:$B$88,'Format-Blr'!X$51:X$88)</f>
        <v>35</v>
      </c>
      <c r="AH24" s="45">
        <f>_xlfn.XLOOKUP(B24,'Format-Blr'!$B$51:$B$88,'Format-Blr'!AD$51:AD$88)</f>
        <v>0</v>
      </c>
      <c r="AI24" s="45">
        <f>_xlfn.XLOOKUP(B24,'Format-Blr'!$B$51:$B$88,'Format-Blr'!AE$51:AE$88)</f>
        <v>0</v>
      </c>
      <c r="AJ24" s="45">
        <f>_xlfn.XLOOKUP(B24,'Format-Blr'!$B$51:$B$88,'Format-Blr'!AK$51:AK$88)</f>
        <v>63</v>
      </c>
      <c r="AK24" s="45">
        <f>_xlfn.XLOOKUP(B24,'Format-Blr'!$B$51:$B$88,'Format-Blr'!AL$51:AL$88)</f>
        <v>22</v>
      </c>
      <c r="AL24" s="45">
        <f>_xlfn.XLOOKUP(B24,'Format-Blr'!$B$51:$B$88,'Format-Blr'!AR$51:AR$88)</f>
        <v>119</v>
      </c>
      <c r="AM24" s="45">
        <f>_xlfn.XLOOKUP(B24,'Format-Blr'!$B$51:$B$88,'Format-Blr'!AS$51:AS$88)</f>
        <v>38</v>
      </c>
      <c r="AN24" s="45">
        <f>_xlfn.XLOOKUP(B24,'Format-Blr'!$B$51:$B$88,'Format-Blr'!AY$51:AY$88)</f>
        <v>0</v>
      </c>
      <c r="AO24" s="45">
        <f>_xlfn.XLOOKUP(B24,'Format-Blr'!$B$51:$B$88,'Format-Blr'!AZ$51:AZ$88)</f>
        <v>0</v>
      </c>
      <c r="AP24" s="45">
        <f>_xlfn.XLOOKUP(B24,'Format-Blr'!$B$51:$B$88,'Format-Blr'!BF$51:BF$88)</f>
        <v>0</v>
      </c>
      <c r="AQ24" s="45">
        <f>_xlfn.XLOOKUP(B24,'Format-Blr'!$B$51:$B$88,'Format-Blr'!BG$51:BG$88)</f>
        <v>0</v>
      </c>
      <c r="AR24" s="45">
        <f>_xlfn.XLOOKUP(B24,'Format-Blr'!$B$51:$B$88,'Format-Blr'!BM$51:BM$88)</f>
        <v>0</v>
      </c>
      <c r="AS24" s="45">
        <f>_xlfn.XLOOKUP(B24,'Format-Blr'!$B$51:$B$88,'Format-Blr'!BN$51:BN$88)</f>
        <v>0</v>
      </c>
      <c r="AT24" s="45">
        <f>_xlfn.XLOOKUP(B24,'Format-Blr'!$B$51:$B$88,'Format-Blr'!BT$51:BT$88)</f>
        <v>0</v>
      </c>
      <c r="AU24" s="45">
        <f>_xlfn.XLOOKUP(B24,'Format-Blr'!$B$51:$B$88,'Format-Blr'!BU$51:BU$88)</f>
        <v>0</v>
      </c>
      <c r="AV24" s="34">
        <f t="shared" si="4"/>
        <v>338</v>
      </c>
      <c r="AW24" s="34">
        <f t="shared" si="5"/>
        <v>110</v>
      </c>
      <c r="AX24" s="38">
        <f t="shared" si="15"/>
        <v>32.544378698224854</v>
      </c>
      <c r="AY24" s="37">
        <f>_xlfn.XLOOKUP(B24,'Format-Blr'!B$51:B$88,'Format-Blr'!CF$51:CF$88)</f>
        <v>0</v>
      </c>
      <c r="AZ24" s="34">
        <f>_xlfn.XLOOKUP(B24,'Format-Blr'!B$51:B$88,'Format-Blr'!CG$51:CG$88)</f>
        <v>0</v>
      </c>
      <c r="BA24" s="35" t="e">
        <f t="shared" si="16"/>
        <v>#DIV/0!</v>
      </c>
      <c r="BB24" s="37">
        <f>_xlfn.XLOOKUP(B24,'Format-Blr'!$B$7:$B$44,'Format-Blr'!CF$7:CF$44)</f>
        <v>0</v>
      </c>
      <c r="BC24" s="34">
        <f>_xlfn.XLOOKUP(B24,'Format-Blr'!$B$7:$B$44,'Format-Blr'!CG$7:CG$44)</f>
        <v>0</v>
      </c>
      <c r="BD24" s="34">
        <f>_xlfn.XLOOKUP(B24,'Format-Blr'!$B$7:$B$44,'Format-Blr'!CI$7:CI$44)</f>
        <v>0</v>
      </c>
      <c r="BE24" s="34">
        <f>_xlfn.XLOOKUP(B24,'Format-Blr'!$B$7:$B$44,'Format-Blr'!CJ$7:CJ$44)</f>
        <v>0</v>
      </c>
      <c r="BF24" s="34">
        <f>_xlfn.XLOOKUP(B24,'Format-Blr'!$B$7:$B$44,'Format-Blr'!CL$7:CL$44)</f>
        <v>0</v>
      </c>
      <c r="BG24" s="34">
        <f>_xlfn.XLOOKUP(B24,'Format-Blr'!$B$7:$B$44,'Format-Blr'!CM$7:CM$44)</f>
        <v>0</v>
      </c>
      <c r="BH24" s="34">
        <f>_xlfn.XLOOKUP(B24,'Format-Blr'!$B$7:$B$44,'Format-Blr'!CO$7:CO$44)</f>
        <v>0</v>
      </c>
      <c r="BI24" s="52">
        <f>_xlfn.XLOOKUP(B24,'Format-Blr'!$B$7:$B$44,'Format-Blr'!CP$7:CP$44)</f>
        <v>0</v>
      </c>
      <c r="BJ24" s="37">
        <f t="shared" si="17"/>
        <v>0</v>
      </c>
      <c r="BK24" s="34">
        <f t="shared" si="18"/>
        <v>0</v>
      </c>
      <c r="BL24" s="38" t="e">
        <f t="shared" si="19"/>
        <v>#DIV/0!</v>
      </c>
      <c r="BN24" s="37">
        <f t="shared" si="10"/>
        <v>604</v>
      </c>
      <c r="BO24" s="34">
        <f t="shared" si="11"/>
        <v>358</v>
      </c>
      <c r="BP24" s="38">
        <f t="shared" si="12"/>
        <v>59.271523178807954</v>
      </c>
    </row>
    <row r="25" spans="1:68" s="9" customFormat="1" ht="21" customHeight="1" x14ac:dyDescent="0.25">
      <c r="A25" s="46" t="s">
        <v>23</v>
      </c>
      <c r="B25" s="55" t="s">
        <v>25</v>
      </c>
      <c r="C25" s="48" t="s">
        <v>15</v>
      </c>
      <c r="D25" s="49" t="s">
        <v>16</v>
      </c>
      <c r="E25" s="44">
        <f>_xlfn.XLOOKUP(B25,'Format-Blr'!$B$7:$B$44,'Format-Blr'!I$7:I$44)</f>
        <v>0</v>
      </c>
      <c r="F25" s="45">
        <f>_xlfn.XLOOKUP(B25,'Format-Blr'!$B$7:$B$44,'Format-Blr'!J$7:J$44)</f>
        <v>0</v>
      </c>
      <c r="G25" s="45">
        <f>_xlfn.XLOOKUP(B25,'Format-Blr'!$B$7:$B$44,'Format-Blr'!P$7:P$44)</f>
        <v>34</v>
      </c>
      <c r="H25" s="45">
        <f>_xlfn.XLOOKUP(B25,'Format-Blr'!$B$7:$B$44,'Format-Blr'!Q$7:Q$44)</f>
        <v>32</v>
      </c>
      <c r="I25" s="45">
        <f>_xlfn.XLOOKUP(B25,'Format-Blr'!$B$7:$B$44,'Format-Blr'!W$7:W$44)</f>
        <v>54</v>
      </c>
      <c r="J25" s="45">
        <f>_xlfn.XLOOKUP(B25,'Format-Blr'!$B$7:$B$44,'Format-Blr'!X$7:X$44)</f>
        <v>45</v>
      </c>
      <c r="K25" s="45">
        <f>_xlfn.XLOOKUP(B25,'Format-Blr'!$B$7:$B$44,'Format-Blr'!AD$7:AD$44)</f>
        <v>0</v>
      </c>
      <c r="L25" s="45">
        <f>_xlfn.XLOOKUP(B25,'Format-Blr'!$B$7:$B$44,'Format-Blr'!AE$7:AE$44)</f>
        <v>0</v>
      </c>
      <c r="M25" s="45">
        <f>_xlfn.XLOOKUP(B25,'Format-Blr'!$B$7:$B$44,'Format-Blr'!AK$7:AK$44)</f>
        <v>46</v>
      </c>
      <c r="N25" s="45">
        <f>_xlfn.XLOOKUP(B25,'Format-Blr'!$B$7:$B$44,'Format-Blr'!AL$7:AL$44)</f>
        <v>40</v>
      </c>
      <c r="O25" s="45">
        <f>_xlfn.XLOOKUP(B25,'Format-Blr'!$B$7:$B$44,'Format-Blr'!AR$7:AR$44)</f>
        <v>165</v>
      </c>
      <c r="P25" s="45">
        <f>_xlfn.XLOOKUP(B25,'Format-Blr'!$B$7:$B$44,'Format-Blr'!AS$7:AS$44)</f>
        <v>134</v>
      </c>
      <c r="Q25" s="45">
        <f>_xlfn.XLOOKUP(B25,'Format-Blr'!$B$7:$B$44,'Format-Blr'!AY$7:AY$44)</f>
        <v>51</v>
      </c>
      <c r="R25" s="45">
        <f>_xlfn.XLOOKUP(B25,'Format-Blr'!$B$7:$B$44,'Format-Blr'!AZ$7:AZ$44)</f>
        <v>39</v>
      </c>
      <c r="S25" s="45">
        <f>_xlfn.XLOOKUP(B25,'Format-Blr'!$B$7:$B$44,'Format-Blr'!BF$7:BF$44)</f>
        <v>54</v>
      </c>
      <c r="T25" s="45">
        <f>_xlfn.XLOOKUP(B25,'Format-Blr'!$B$7:$B$44,'Format-Blr'!BG$7:BG$44)</f>
        <v>42</v>
      </c>
      <c r="U25" s="45">
        <f>_xlfn.XLOOKUP(B25,'Format-Blr'!$B$7:$B$44,'Format-Blr'!BM$7:BM$44)</f>
        <v>0</v>
      </c>
      <c r="V25" s="45">
        <f>_xlfn.XLOOKUP(B25,'Format-Blr'!$B$7:$B$44,'Format-Blr'!BN$7:BN$44)</f>
        <v>0</v>
      </c>
      <c r="W25" s="45">
        <f>_xlfn.XLOOKUP(B25,'Format-Blr'!$B$7:$B$44,'Format-Blr'!BT$7:BT$44)</f>
        <v>54</v>
      </c>
      <c r="X25" s="45">
        <f>_xlfn.XLOOKUP(B25,'Format-Blr'!$B$7:$B$44,'Format-Blr'!BU$7:BU$44)</f>
        <v>48</v>
      </c>
      <c r="Y25" s="34">
        <f t="shared" si="1"/>
        <v>458</v>
      </c>
      <c r="Z25" s="34">
        <f t="shared" si="2"/>
        <v>380</v>
      </c>
      <c r="AA25" s="38">
        <f t="shared" si="3"/>
        <v>82.969432314410483</v>
      </c>
      <c r="AB25" s="44">
        <f>_xlfn.XLOOKUP(B25,'Format-Blr'!$B$51:$B$88,'Format-Blr'!I$51:I$88)</f>
        <v>0</v>
      </c>
      <c r="AC25" s="45">
        <f>_xlfn.XLOOKUP(B25,'Format-Blr'!$B$51:$B$88,'Format-Blr'!J$51:J$88)</f>
        <v>0</v>
      </c>
      <c r="AD25" s="45">
        <f>_xlfn.XLOOKUP(B25,'Format-Blr'!$B$51:$B$88,'Format-Blr'!P$51:P$88)</f>
        <v>38</v>
      </c>
      <c r="AE25" s="45">
        <f>_xlfn.XLOOKUP(B25,'Format-Blr'!$B$51:$B$88,'Format-Blr'!Q$51:Q$88)</f>
        <v>17</v>
      </c>
      <c r="AF25" s="45">
        <f>_xlfn.XLOOKUP(B25,'Format-Blr'!$B$51:$B$88,'Format-Blr'!W$51:W$88)</f>
        <v>38</v>
      </c>
      <c r="AG25" s="45">
        <f>_xlfn.XLOOKUP(B25,'Format-Blr'!$B$51:$B$88,'Format-Blr'!X$51:X$88)</f>
        <v>12</v>
      </c>
      <c r="AH25" s="45">
        <f>_xlfn.XLOOKUP(B25,'Format-Blr'!$B$51:$B$88,'Format-Blr'!AD$51:AD$88)</f>
        <v>0</v>
      </c>
      <c r="AI25" s="45">
        <f>_xlfn.XLOOKUP(B25,'Format-Blr'!$B$51:$B$88,'Format-Blr'!AE$51:AE$88)</f>
        <v>0</v>
      </c>
      <c r="AJ25" s="45">
        <f>_xlfn.XLOOKUP(B25,'Format-Blr'!$B$51:$B$88,'Format-Blr'!AK$51:AK$88)</f>
        <v>91</v>
      </c>
      <c r="AK25" s="45">
        <f>_xlfn.XLOOKUP(B25,'Format-Blr'!$B$51:$B$88,'Format-Blr'!AL$51:AL$88)</f>
        <v>28</v>
      </c>
      <c r="AL25" s="45">
        <f>_xlfn.XLOOKUP(B25,'Format-Blr'!$B$51:$B$88,'Format-Blr'!AR$51:AR$88)</f>
        <v>174</v>
      </c>
      <c r="AM25" s="45">
        <f>_xlfn.XLOOKUP(B25,'Format-Blr'!$B$51:$B$88,'Format-Blr'!AS$51:AS$88)</f>
        <v>44</v>
      </c>
      <c r="AN25" s="45">
        <f>_xlfn.XLOOKUP(B25,'Format-Blr'!$B$51:$B$88,'Format-Blr'!AY$51:AY$88)</f>
        <v>55</v>
      </c>
      <c r="AO25" s="45">
        <f>_xlfn.XLOOKUP(B25,'Format-Blr'!$B$51:$B$88,'Format-Blr'!AZ$51:AZ$88)</f>
        <v>31</v>
      </c>
      <c r="AP25" s="45">
        <f>_xlfn.XLOOKUP(B25,'Format-Blr'!$B$51:$B$88,'Format-Blr'!BF$51:BF$88)</f>
        <v>58</v>
      </c>
      <c r="AQ25" s="45">
        <f>_xlfn.XLOOKUP(B25,'Format-Blr'!$B$51:$B$88,'Format-Blr'!BG$51:BG$88)</f>
        <v>25</v>
      </c>
      <c r="AR25" s="45">
        <f>_xlfn.XLOOKUP(B25,'Format-Blr'!$B$51:$B$88,'Format-Blr'!BM$51:BM$88)</f>
        <v>0</v>
      </c>
      <c r="AS25" s="45">
        <f>_xlfn.XLOOKUP(B25,'Format-Blr'!$B$51:$B$88,'Format-Blr'!BN$51:BN$88)</f>
        <v>0</v>
      </c>
      <c r="AT25" s="45">
        <f>_xlfn.XLOOKUP(B25,'Format-Blr'!$B$51:$B$88,'Format-Blr'!BT$51:BT$88)</f>
        <v>62</v>
      </c>
      <c r="AU25" s="45">
        <f>_xlfn.XLOOKUP(B25,'Format-Blr'!$B$51:$B$88,'Format-Blr'!BU$51:BU$88)</f>
        <v>15</v>
      </c>
      <c r="AV25" s="34">
        <f t="shared" si="4"/>
        <v>516</v>
      </c>
      <c r="AW25" s="34">
        <f t="shared" si="5"/>
        <v>172</v>
      </c>
      <c r="AX25" s="38">
        <f t="shared" si="6"/>
        <v>33.333333333333329</v>
      </c>
      <c r="AY25" s="37">
        <f>_xlfn.XLOOKUP(B25,'Format-Blr'!B$51:B$88,'Format-Blr'!CF$51:CF$88)</f>
        <v>0</v>
      </c>
      <c r="AZ25" s="34">
        <f>_xlfn.XLOOKUP(B25,'Format-Blr'!B$51:B$88,'Format-Blr'!CG$51:CG$88)</f>
        <v>0</v>
      </c>
      <c r="BA25" s="35" t="e">
        <f t="shared" si="7"/>
        <v>#DIV/0!</v>
      </c>
      <c r="BB25" s="37">
        <f>_xlfn.XLOOKUP(B25,'Format-Blr'!$B$7:$B$44,'Format-Blr'!CF$7:CF$44)</f>
        <v>0</v>
      </c>
      <c r="BC25" s="34">
        <f>_xlfn.XLOOKUP(B25,'Format-Blr'!$B$7:$B$44,'Format-Blr'!CG$7:CG$44)</f>
        <v>0</v>
      </c>
      <c r="BD25" s="34">
        <f>_xlfn.XLOOKUP(B25,'Format-Blr'!$B$7:$B$44,'Format-Blr'!CI$7:CI$44)</f>
        <v>0</v>
      </c>
      <c r="BE25" s="34">
        <f>_xlfn.XLOOKUP(B25,'Format-Blr'!$B$7:$B$44,'Format-Blr'!CJ$7:CJ$44)</f>
        <v>0</v>
      </c>
      <c r="BF25" s="34">
        <f>_xlfn.XLOOKUP(B25,'Format-Blr'!$B$7:$B$44,'Format-Blr'!CL$7:CL$44)</f>
        <v>0</v>
      </c>
      <c r="BG25" s="34">
        <f>_xlfn.XLOOKUP(B25,'Format-Blr'!$B$7:$B$44,'Format-Blr'!CM$7:CM$44)</f>
        <v>0</v>
      </c>
      <c r="BH25" s="34">
        <f>_xlfn.XLOOKUP(B25,'Format-Blr'!$B$7:$B$44,'Format-Blr'!CO$7:CO$44)</f>
        <v>0</v>
      </c>
      <c r="BI25" s="52">
        <f>_xlfn.XLOOKUP(B25,'Format-Blr'!$B$7:$B$44,'Format-Blr'!CP$7:CP$44)</f>
        <v>0</v>
      </c>
      <c r="BJ25" s="37">
        <f t="shared" si="13"/>
        <v>0</v>
      </c>
      <c r="BK25" s="34">
        <f t="shared" si="8"/>
        <v>0</v>
      </c>
      <c r="BL25" s="38" t="e">
        <f t="shared" si="9"/>
        <v>#DIV/0!</v>
      </c>
      <c r="BN25" s="37">
        <f t="shared" si="10"/>
        <v>974</v>
      </c>
      <c r="BO25" s="34">
        <f t="shared" si="11"/>
        <v>552</v>
      </c>
      <c r="BP25" s="38">
        <f t="shared" si="12"/>
        <v>56.67351129363449</v>
      </c>
    </row>
    <row r="26" spans="1:68" s="9" customFormat="1" ht="21" customHeight="1" x14ac:dyDescent="0.25">
      <c r="A26" s="46" t="s">
        <v>23</v>
      </c>
      <c r="B26" s="55" t="s">
        <v>2</v>
      </c>
      <c r="C26" s="48" t="s">
        <v>15</v>
      </c>
      <c r="D26" s="49" t="s">
        <v>16</v>
      </c>
      <c r="E26" s="44">
        <f>_xlfn.XLOOKUP(B26,'Format-Blr'!$B$7:$B$44,'Format-Blr'!I$7:I$44)</f>
        <v>0</v>
      </c>
      <c r="F26" s="45">
        <f>_xlfn.XLOOKUP(B26,'Format-Blr'!$B$7:$B$44,'Format-Blr'!J$7:J$44)</f>
        <v>0</v>
      </c>
      <c r="G26" s="45">
        <f>_xlfn.XLOOKUP(B26,'Format-Blr'!$B$7:$B$44,'Format-Blr'!P$7:P$44)</f>
        <v>0</v>
      </c>
      <c r="H26" s="45">
        <f>_xlfn.XLOOKUP(B26,'Format-Blr'!$B$7:$B$44,'Format-Blr'!Q$7:Q$44)</f>
        <v>0</v>
      </c>
      <c r="I26" s="45">
        <f>_xlfn.XLOOKUP(B26,'Format-Blr'!$B$7:$B$44,'Format-Blr'!W$7:W$44)</f>
        <v>33</v>
      </c>
      <c r="J26" s="45">
        <f>_xlfn.XLOOKUP(B26,'Format-Blr'!$B$7:$B$44,'Format-Blr'!X$7:X$44)</f>
        <v>26</v>
      </c>
      <c r="K26" s="45">
        <f>_xlfn.XLOOKUP(B26,'Format-Blr'!$B$7:$B$44,'Format-Blr'!AD$7:AD$44)</f>
        <v>0</v>
      </c>
      <c r="L26" s="45">
        <f>_xlfn.XLOOKUP(B26,'Format-Blr'!$B$7:$B$44,'Format-Blr'!AE$7:AE$44)</f>
        <v>0</v>
      </c>
      <c r="M26" s="45">
        <f>_xlfn.XLOOKUP(B26,'Format-Blr'!$B$7:$B$44,'Format-Blr'!AK$7:AK$44)</f>
        <v>55</v>
      </c>
      <c r="N26" s="45">
        <f>_xlfn.XLOOKUP(B26,'Format-Blr'!$B$7:$B$44,'Format-Blr'!AL$7:AL$44)</f>
        <v>39</v>
      </c>
      <c r="O26" s="45">
        <f>_xlfn.XLOOKUP(B26,'Format-Blr'!$B$7:$B$44,'Format-Blr'!AR$7:AR$44)</f>
        <v>54</v>
      </c>
      <c r="P26" s="45">
        <f>_xlfn.XLOOKUP(B26,'Format-Blr'!$B$7:$B$44,'Format-Blr'!AS$7:AS$44)</f>
        <v>41</v>
      </c>
      <c r="Q26" s="45">
        <f>_xlfn.XLOOKUP(B26,'Format-Blr'!$B$7:$B$44,'Format-Blr'!AY$7:AY$44)</f>
        <v>0</v>
      </c>
      <c r="R26" s="45">
        <f>_xlfn.XLOOKUP(B26,'Format-Blr'!$B$7:$B$44,'Format-Blr'!AZ$7:AZ$44)</f>
        <v>0</v>
      </c>
      <c r="S26" s="45">
        <f>_xlfn.XLOOKUP(B26,'Format-Blr'!$B$7:$B$44,'Format-Blr'!BF$7:BF$44)</f>
        <v>49</v>
      </c>
      <c r="T26" s="45">
        <f>_xlfn.XLOOKUP(B26,'Format-Blr'!$B$7:$B$44,'Format-Blr'!BG$7:BG$44)</f>
        <v>43</v>
      </c>
      <c r="U26" s="45">
        <f>_xlfn.XLOOKUP(B26,'Format-Blr'!$B$7:$B$44,'Format-Blr'!BM$7:BM$44)</f>
        <v>0</v>
      </c>
      <c r="V26" s="45">
        <f>_xlfn.XLOOKUP(B26,'Format-Blr'!$B$7:$B$44,'Format-Blr'!BN$7:BN$44)</f>
        <v>0</v>
      </c>
      <c r="W26" s="45">
        <f>_xlfn.XLOOKUP(B26,'Format-Blr'!$B$7:$B$44,'Format-Blr'!BT$7:BT$44)</f>
        <v>0</v>
      </c>
      <c r="X26" s="45">
        <f>_xlfn.XLOOKUP(B26,'Format-Blr'!$B$7:$B$44,'Format-Blr'!BU$7:BU$44)</f>
        <v>0</v>
      </c>
      <c r="Y26" s="34">
        <f t="shared" si="1"/>
        <v>191</v>
      </c>
      <c r="Z26" s="34">
        <f t="shared" si="2"/>
        <v>149</v>
      </c>
      <c r="AA26" s="38">
        <f t="shared" si="3"/>
        <v>78.010471204188477</v>
      </c>
      <c r="AB26" s="44">
        <f>_xlfn.XLOOKUP(B26,'Format-Blr'!$B$51:$B$88,'Format-Blr'!I$51:I$88)</f>
        <v>0</v>
      </c>
      <c r="AC26" s="45">
        <f>_xlfn.XLOOKUP(B26,'Format-Blr'!$B$51:$B$88,'Format-Blr'!J$51:J$88)</f>
        <v>0</v>
      </c>
      <c r="AD26" s="45">
        <f>_xlfn.XLOOKUP(B26,'Format-Blr'!$B$51:$B$88,'Format-Blr'!P$51:P$88)</f>
        <v>29</v>
      </c>
      <c r="AE26" s="45">
        <f>_xlfn.XLOOKUP(B26,'Format-Blr'!$B$51:$B$88,'Format-Blr'!Q$51:Q$88)</f>
        <v>21</v>
      </c>
      <c r="AF26" s="45">
        <f>_xlfn.XLOOKUP(B26,'Format-Blr'!$B$51:$B$88,'Format-Blr'!W$51:W$88)</f>
        <v>0</v>
      </c>
      <c r="AG26" s="45">
        <f>_xlfn.XLOOKUP(B26,'Format-Blr'!$B$51:$B$88,'Format-Blr'!X$51:X$88)</f>
        <v>0</v>
      </c>
      <c r="AH26" s="45">
        <f>_xlfn.XLOOKUP(B26,'Format-Blr'!$B$51:$B$88,'Format-Blr'!AD$51:AD$88)</f>
        <v>0</v>
      </c>
      <c r="AI26" s="45">
        <f>_xlfn.XLOOKUP(B26,'Format-Blr'!$B$51:$B$88,'Format-Blr'!AE$51:AE$88)</f>
        <v>0</v>
      </c>
      <c r="AJ26" s="45">
        <f>_xlfn.XLOOKUP(B26,'Format-Blr'!$B$51:$B$88,'Format-Blr'!AK$51:AK$88)</f>
        <v>52</v>
      </c>
      <c r="AK26" s="45">
        <f>_xlfn.XLOOKUP(B26,'Format-Blr'!$B$51:$B$88,'Format-Blr'!AL$51:AL$88)</f>
        <v>41</v>
      </c>
      <c r="AL26" s="45">
        <f>_xlfn.XLOOKUP(B26,'Format-Blr'!$B$51:$B$88,'Format-Blr'!AR$51:AR$88)</f>
        <v>47</v>
      </c>
      <c r="AM26" s="45">
        <f>_xlfn.XLOOKUP(B26,'Format-Blr'!$B$51:$B$88,'Format-Blr'!AS$51:AS$88)</f>
        <v>35</v>
      </c>
      <c r="AN26" s="45">
        <f>_xlfn.XLOOKUP(B26,'Format-Blr'!$B$51:$B$88,'Format-Blr'!AY$51:AY$88)</f>
        <v>0</v>
      </c>
      <c r="AO26" s="45">
        <f>_xlfn.XLOOKUP(B26,'Format-Blr'!$B$51:$B$88,'Format-Blr'!AZ$51:AZ$88)</f>
        <v>0</v>
      </c>
      <c r="AP26" s="45">
        <f>_xlfn.XLOOKUP(B26,'Format-Blr'!$B$51:$B$88,'Format-Blr'!BF$51:BF$88)</f>
        <v>33</v>
      </c>
      <c r="AQ26" s="45">
        <f>_xlfn.XLOOKUP(B26,'Format-Blr'!$B$51:$B$88,'Format-Blr'!BG$51:BG$88)</f>
        <v>26</v>
      </c>
      <c r="AR26" s="45">
        <f>_xlfn.XLOOKUP(B26,'Format-Blr'!$B$51:$B$88,'Format-Blr'!BM$51:BM$88)</f>
        <v>0</v>
      </c>
      <c r="AS26" s="45">
        <f>_xlfn.XLOOKUP(B26,'Format-Blr'!$B$51:$B$88,'Format-Blr'!BN$51:BN$88)</f>
        <v>0</v>
      </c>
      <c r="AT26" s="45">
        <f>_xlfn.XLOOKUP(B26,'Format-Blr'!$B$51:$B$88,'Format-Blr'!BT$51:BT$88)</f>
        <v>0</v>
      </c>
      <c r="AU26" s="45">
        <f>_xlfn.XLOOKUP(B26,'Format-Blr'!$B$51:$B$88,'Format-Blr'!BU$51:BU$88)</f>
        <v>0</v>
      </c>
      <c r="AV26" s="34">
        <f t="shared" si="4"/>
        <v>161</v>
      </c>
      <c r="AW26" s="34">
        <f t="shared" si="5"/>
        <v>123</v>
      </c>
      <c r="AX26" s="38">
        <f t="shared" si="6"/>
        <v>76.397515527950304</v>
      </c>
      <c r="AY26" s="37">
        <f>_xlfn.XLOOKUP(B26,'Format-Blr'!B$51:B$88,'Format-Blr'!CF$51:CF$88)</f>
        <v>0</v>
      </c>
      <c r="AZ26" s="34">
        <f>_xlfn.XLOOKUP(B26,'Format-Blr'!B$51:B$88,'Format-Blr'!CG$51:CG$88)</f>
        <v>0</v>
      </c>
      <c r="BA26" s="35" t="e">
        <f t="shared" si="7"/>
        <v>#DIV/0!</v>
      </c>
      <c r="BB26" s="37">
        <f>_xlfn.XLOOKUP(B26,'Format-Blr'!$B$7:$B$44,'Format-Blr'!CF$7:CF$44)</f>
        <v>0</v>
      </c>
      <c r="BC26" s="34">
        <f>_xlfn.XLOOKUP(B26,'Format-Blr'!$B$7:$B$44,'Format-Blr'!CG$7:CG$44)</f>
        <v>0</v>
      </c>
      <c r="BD26" s="34">
        <f>_xlfn.XLOOKUP(B26,'Format-Blr'!$B$7:$B$44,'Format-Blr'!CI$7:CI$44)</f>
        <v>0</v>
      </c>
      <c r="BE26" s="34">
        <f>_xlfn.XLOOKUP(B26,'Format-Blr'!$B$7:$B$44,'Format-Blr'!CJ$7:CJ$44)</f>
        <v>0</v>
      </c>
      <c r="BF26" s="34">
        <f>_xlfn.XLOOKUP(B26,'Format-Blr'!$B$7:$B$44,'Format-Blr'!CL$7:CL$44)</f>
        <v>0</v>
      </c>
      <c r="BG26" s="34">
        <f>_xlfn.XLOOKUP(B26,'Format-Blr'!$B$7:$B$44,'Format-Blr'!CM$7:CM$44)</f>
        <v>0</v>
      </c>
      <c r="BH26" s="34">
        <f>_xlfn.XLOOKUP(B26,'Format-Blr'!$B$7:$B$44,'Format-Blr'!CO$7:CO$44)</f>
        <v>0</v>
      </c>
      <c r="BI26" s="52">
        <f>_xlfn.XLOOKUP(B26,'Format-Blr'!$B$7:$B$44,'Format-Blr'!CP$7:CP$44)</f>
        <v>0</v>
      </c>
      <c r="BJ26" s="37">
        <f t="shared" si="13"/>
        <v>0</v>
      </c>
      <c r="BK26" s="34">
        <f t="shared" si="8"/>
        <v>0</v>
      </c>
      <c r="BL26" s="38" t="e">
        <f t="shared" si="9"/>
        <v>#DIV/0!</v>
      </c>
      <c r="BN26" s="37">
        <f t="shared" si="10"/>
        <v>352</v>
      </c>
      <c r="BO26" s="34">
        <f t="shared" si="11"/>
        <v>272</v>
      </c>
      <c r="BP26" s="38">
        <f t="shared" si="12"/>
        <v>77.272727272727266</v>
      </c>
    </row>
    <row r="27" spans="1:68" s="9" customFormat="1" ht="21" customHeight="1" x14ac:dyDescent="0.25">
      <c r="A27" s="46" t="s">
        <v>23</v>
      </c>
      <c r="B27" s="47" t="s">
        <v>44</v>
      </c>
      <c r="C27" s="48" t="s">
        <v>15</v>
      </c>
      <c r="D27" s="49" t="s">
        <v>16</v>
      </c>
      <c r="E27" s="44">
        <f>_xlfn.XLOOKUP(B27,'Format-Blr'!$B$7:$B$44,'Format-Blr'!I$7:I$44)</f>
        <v>0</v>
      </c>
      <c r="F27" s="45">
        <f>_xlfn.XLOOKUP(B27,'Format-Blr'!$B$7:$B$44,'Format-Blr'!J$7:J$44)</f>
        <v>0</v>
      </c>
      <c r="G27" s="45">
        <f>_xlfn.XLOOKUP(B27,'Format-Blr'!$B$7:$B$44,'Format-Blr'!P$7:P$44)</f>
        <v>0</v>
      </c>
      <c r="H27" s="45">
        <f>_xlfn.XLOOKUP(B27,'Format-Blr'!$B$7:$B$44,'Format-Blr'!Q$7:Q$44)</f>
        <v>0</v>
      </c>
      <c r="I27" s="45">
        <f>_xlfn.XLOOKUP(B27,'Format-Blr'!$B$7:$B$44,'Format-Blr'!W$7:W$44)</f>
        <v>47</v>
      </c>
      <c r="J27" s="45">
        <f>_xlfn.XLOOKUP(B27,'Format-Blr'!$B$7:$B$44,'Format-Blr'!X$7:X$44)</f>
        <v>40</v>
      </c>
      <c r="K27" s="45">
        <f>_xlfn.XLOOKUP(B27,'Format-Blr'!$B$7:$B$44,'Format-Blr'!AD$7:AD$44)</f>
        <v>0</v>
      </c>
      <c r="L27" s="45">
        <f>_xlfn.XLOOKUP(B27,'Format-Blr'!$B$7:$B$44,'Format-Blr'!AE$7:AE$44)</f>
        <v>0</v>
      </c>
      <c r="M27" s="45">
        <f>_xlfn.XLOOKUP(B27,'Format-Blr'!$B$7:$B$44,'Format-Blr'!AK$7:AK$44)</f>
        <v>89</v>
      </c>
      <c r="N27" s="45">
        <f>_xlfn.XLOOKUP(B27,'Format-Blr'!$B$7:$B$44,'Format-Blr'!AL$7:AL$44)</f>
        <v>72</v>
      </c>
      <c r="O27" s="45">
        <f>_xlfn.XLOOKUP(B27,'Format-Blr'!$B$7:$B$44,'Format-Blr'!AR$7:AR$44)</f>
        <v>107</v>
      </c>
      <c r="P27" s="45">
        <f>_xlfn.XLOOKUP(B27,'Format-Blr'!$B$7:$B$44,'Format-Blr'!AS$7:AS$44)</f>
        <v>94</v>
      </c>
      <c r="Q27" s="45">
        <f>_xlfn.XLOOKUP(B27,'Format-Blr'!$B$7:$B$44,'Format-Blr'!AY$7:AY$44)</f>
        <v>105</v>
      </c>
      <c r="R27" s="45">
        <f>_xlfn.XLOOKUP(B27,'Format-Blr'!$B$7:$B$44,'Format-Blr'!AZ$7:AZ$44)</f>
        <v>94</v>
      </c>
      <c r="S27" s="45">
        <f>_xlfn.XLOOKUP(B27,'Format-Blr'!$B$7:$B$44,'Format-Blr'!BF$7:BF$44)</f>
        <v>0</v>
      </c>
      <c r="T27" s="45">
        <f>_xlfn.XLOOKUP(B27,'Format-Blr'!$B$7:$B$44,'Format-Blr'!BG$7:BG$44)</f>
        <v>0</v>
      </c>
      <c r="U27" s="45">
        <f>_xlfn.XLOOKUP(B27,'Format-Blr'!$B$7:$B$44,'Format-Blr'!BM$7:BM$44)</f>
        <v>0</v>
      </c>
      <c r="V27" s="45">
        <f>_xlfn.XLOOKUP(B27,'Format-Blr'!$B$7:$B$44,'Format-Blr'!BN$7:BN$44)</f>
        <v>0</v>
      </c>
      <c r="W27" s="45">
        <f>_xlfn.XLOOKUP(B27,'Format-Blr'!$B$7:$B$44,'Format-Blr'!BT$7:BT$44)</f>
        <v>49</v>
      </c>
      <c r="X27" s="45">
        <f>_xlfn.XLOOKUP(B27,'Format-Blr'!$B$7:$B$44,'Format-Blr'!BU$7:BU$44)</f>
        <v>44</v>
      </c>
      <c r="Y27" s="34">
        <f t="shared" si="1"/>
        <v>397</v>
      </c>
      <c r="Z27" s="34">
        <f t="shared" si="2"/>
        <v>344</v>
      </c>
      <c r="AA27" s="38">
        <f t="shared" si="3"/>
        <v>86.649874055415623</v>
      </c>
      <c r="AB27" s="44">
        <f>_xlfn.XLOOKUP(B27,'Format-Blr'!$B$51:$B$88,'Format-Blr'!I$51:I$88)</f>
        <v>0</v>
      </c>
      <c r="AC27" s="45">
        <f>_xlfn.XLOOKUP(B27,'Format-Blr'!$B$51:$B$88,'Format-Blr'!J$51:J$88)</f>
        <v>0</v>
      </c>
      <c r="AD27" s="45">
        <f>_xlfn.XLOOKUP(B27,'Format-Blr'!$B$51:$B$88,'Format-Blr'!P$51:P$88)</f>
        <v>39</v>
      </c>
      <c r="AE27" s="45">
        <f>_xlfn.XLOOKUP(B27,'Format-Blr'!$B$51:$B$88,'Format-Blr'!Q$51:Q$88)</f>
        <v>0</v>
      </c>
      <c r="AF27" s="45">
        <f>_xlfn.XLOOKUP(B27,'Format-Blr'!$B$51:$B$88,'Format-Blr'!W$51:W$88)</f>
        <v>0</v>
      </c>
      <c r="AG27" s="45">
        <f>_xlfn.XLOOKUP(B27,'Format-Blr'!$B$51:$B$88,'Format-Blr'!X$51:X$88)</f>
        <v>0</v>
      </c>
      <c r="AH27" s="45">
        <f>_xlfn.XLOOKUP(B27,'Format-Blr'!$B$51:$B$88,'Format-Blr'!AD$51:AD$88)</f>
        <v>0</v>
      </c>
      <c r="AI27" s="45">
        <f>_xlfn.XLOOKUP(B27,'Format-Blr'!$B$51:$B$88,'Format-Blr'!AE$51:AE$88)</f>
        <v>0</v>
      </c>
      <c r="AJ27" s="45">
        <f>_xlfn.XLOOKUP(B27,'Format-Blr'!$B$51:$B$88,'Format-Blr'!AK$51:AK$88)</f>
        <v>113</v>
      </c>
      <c r="AK27" s="45">
        <f>_xlfn.XLOOKUP(B27,'Format-Blr'!$B$51:$B$88,'Format-Blr'!AL$51:AL$88)</f>
        <v>36</v>
      </c>
      <c r="AL27" s="45">
        <f>_xlfn.XLOOKUP(B27,'Format-Blr'!$B$51:$B$88,'Format-Blr'!AR$51:AR$88)</f>
        <v>107</v>
      </c>
      <c r="AM27" s="45">
        <f>_xlfn.XLOOKUP(B27,'Format-Blr'!$B$51:$B$88,'Format-Blr'!AS$51:AS$88)</f>
        <v>32</v>
      </c>
      <c r="AN27" s="45">
        <f>_xlfn.XLOOKUP(B27,'Format-Blr'!$B$51:$B$88,'Format-Blr'!AY$51:AY$88)</f>
        <v>53</v>
      </c>
      <c r="AO27" s="45">
        <f>_xlfn.XLOOKUP(B27,'Format-Blr'!$B$51:$B$88,'Format-Blr'!AZ$51:AZ$88)</f>
        <v>43</v>
      </c>
      <c r="AP27" s="45">
        <f>_xlfn.XLOOKUP(B27,'Format-Blr'!$B$51:$B$88,'Format-Blr'!BF$51:BF$88)</f>
        <v>0</v>
      </c>
      <c r="AQ27" s="45">
        <f>_xlfn.XLOOKUP(B27,'Format-Blr'!$B$51:$B$88,'Format-Blr'!BG$51:BG$88)</f>
        <v>0</v>
      </c>
      <c r="AR27" s="45">
        <f>_xlfn.XLOOKUP(B27,'Format-Blr'!$B$51:$B$88,'Format-Blr'!BM$51:BM$88)</f>
        <v>35</v>
      </c>
      <c r="AS27" s="45">
        <f>_xlfn.XLOOKUP(B27,'Format-Blr'!$B$51:$B$88,'Format-Blr'!BN$51:BN$88)</f>
        <v>3</v>
      </c>
      <c r="AT27" s="45">
        <f>_xlfn.XLOOKUP(B27,'Format-Blr'!$B$51:$B$88,'Format-Blr'!BT$51:BT$88)</f>
        <v>41</v>
      </c>
      <c r="AU27" s="45">
        <f>_xlfn.XLOOKUP(B27,'Format-Blr'!$B$51:$B$88,'Format-Blr'!BU$51:BU$88)</f>
        <v>7</v>
      </c>
      <c r="AV27" s="34">
        <f t="shared" si="4"/>
        <v>388</v>
      </c>
      <c r="AW27" s="34">
        <f t="shared" si="5"/>
        <v>121</v>
      </c>
      <c r="AX27" s="38">
        <f t="shared" si="6"/>
        <v>31.185567010309278</v>
      </c>
      <c r="AY27" s="37">
        <f>_xlfn.XLOOKUP(B27,'Format-Blr'!B$51:B$88,'Format-Blr'!CF$51:CF$88)</f>
        <v>0</v>
      </c>
      <c r="AZ27" s="34">
        <f>_xlfn.XLOOKUP(B27,'Format-Blr'!B$51:B$88,'Format-Blr'!CG$51:CG$88)</f>
        <v>0</v>
      </c>
      <c r="BA27" s="35" t="e">
        <f t="shared" ref="BA27" si="20">AZ27/AY27*100</f>
        <v>#DIV/0!</v>
      </c>
      <c r="BB27" s="37">
        <f>_xlfn.XLOOKUP(B27,'Format-Blr'!$B$7:$B$44,'Format-Blr'!CF$7:CF$44)</f>
        <v>0</v>
      </c>
      <c r="BC27" s="34">
        <f>_xlfn.XLOOKUP(B27,'Format-Blr'!$B$7:$B$44,'Format-Blr'!CG$7:CG$44)</f>
        <v>0</v>
      </c>
      <c r="BD27" s="34">
        <f>_xlfn.XLOOKUP(B27,'Format-Blr'!$B$7:$B$44,'Format-Blr'!CI$7:CI$44)</f>
        <v>0</v>
      </c>
      <c r="BE27" s="34">
        <f>_xlfn.XLOOKUP(B27,'Format-Blr'!$B$7:$B$44,'Format-Blr'!CJ$7:CJ$44)</f>
        <v>0</v>
      </c>
      <c r="BF27" s="34">
        <f>_xlfn.XLOOKUP(B27,'Format-Blr'!$B$7:$B$44,'Format-Blr'!CL$7:CL$44)</f>
        <v>0</v>
      </c>
      <c r="BG27" s="34">
        <f>_xlfn.XLOOKUP(B27,'Format-Blr'!$B$7:$B$44,'Format-Blr'!CM$7:CM$44)</f>
        <v>0</v>
      </c>
      <c r="BH27" s="34">
        <f>_xlfn.XLOOKUP(B27,'Format-Blr'!$B$7:$B$44,'Format-Blr'!CO$7:CO$44)</f>
        <v>0</v>
      </c>
      <c r="BI27" s="52">
        <f>_xlfn.XLOOKUP(B27,'Format-Blr'!$B$7:$B$44,'Format-Blr'!CP$7:CP$44)</f>
        <v>0</v>
      </c>
      <c r="BJ27" s="37">
        <f t="shared" si="13"/>
        <v>0</v>
      </c>
      <c r="BK27" s="34">
        <f t="shared" si="8"/>
        <v>0</v>
      </c>
      <c r="BL27" s="38" t="e">
        <f t="shared" si="9"/>
        <v>#DIV/0!</v>
      </c>
      <c r="BN27" s="37">
        <f t="shared" si="10"/>
        <v>785</v>
      </c>
      <c r="BO27" s="34">
        <f t="shared" si="11"/>
        <v>465</v>
      </c>
      <c r="BP27" s="38">
        <f t="shared" si="12"/>
        <v>59.235668789808912</v>
      </c>
    </row>
    <row r="28" spans="1:68" s="9" customFormat="1" ht="21" customHeight="1" x14ac:dyDescent="0.25">
      <c r="A28" s="46" t="s">
        <v>23</v>
      </c>
      <c r="B28" s="55" t="s">
        <v>53</v>
      </c>
      <c r="C28" s="50" t="s">
        <v>15</v>
      </c>
      <c r="D28" s="49" t="s">
        <v>16</v>
      </c>
      <c r="E28" s="44">
        <f>_xlfn.XLOOKUP(B28,'Format-Blr'!$B$7:$B$44,'Format-Blr'!I$7:I$44)</f>
        <v>43</v>
      </c>
      <c r="F28" s="45">
        <f>_xlfn.XLOOKUP(B28,'Format-Blr'!$B$7:$B$44,'Format-Blr'!J$7:J$44)</f>
        <v>39</v>
      </c>
      <c r="G28" s="45">
        <f>_xlfn.XLOOKUP(B28,'Format-Blr'!$B$7:$B$44,'Format-Blr'!P$7:P$44)</f>
        <v>101</v>
      </c>
      <c r="H28" s="45">
        <f>_xlfn.XLOOKUP(B28,'Format-Blr'!$B$7:$B$44,'Format-Blr'!Q$7:Q$44)</f>
        <v>93</v>
      </c>
      <c r="I28" s="45">
        <f>_xlfn.XLOOKUP(B28,'Format-Blr'!$B$7:$B$44,'Format-Blr'!W$7:W$44)</f>
        <v>0</v>
      </c>
      <c r="J28" s="45">
        <f>_xlfn.XLOOKUP(B28,'Format-Blr'!$B$7:$B$44,'Format-Blr'!X$7:X$44)</f>
        <v>0</v>
      </c>
      <c r="K28" s="45">
        <f>_xlfn.XLOOKUP(B28,'Format-Blr'!$B$7:$B$44,'Format-Blr'!AD$7:AD$44)</f>
        <v>0</v>
      </c>
      <c r="L28" s="45">
        <f>_xlfn.XLOOKUP(B28,'Format-Blr'!$B$7:$B$44,'Format-Blr'!AE$7:AE$44)</f>
        <v>0</v>
      </c>
      <c r="M28" s="45">
        <f>_xlfn.XLOOKUP(B28,'Format-Blr'!$B$7:$B$44,'Format-Blr'!AK$7:AK$44)</f>
        <v>0</v>
      </c>
      <c r="N28" s="45">
        <f>_xlfn.XLOOKUP(B28,'Format-Blr'!$B$7:$B$44,'Format-Blr'!AL$7:AL$44)</f>
        <v>0</v>
      </c>
      <c r="O28" s="45">
        <f>_xlfn.XLOOKUP(B28,'Format-Blr'!$B$7:$B$44,'Format-Blr'!AR$7:AR$44)</f>
        <v>0</v>
      </c>
      <c r="P28" s="45">
        <f>_xlfn.XLOOKUP(B28,'Format-Blr'!$B$7:$B$44,'Format-Blr'!AS$7:AS$44)</f>
        <v>0</v>
      </c>
      <c r="Q28" s="45">
        <f>_xlfn.XLOOKUP(B28,'Format-Blr'!$B$7:$B$44,'Format-Blr'!AY$7:AY$44)</f>
        <v>0</v>
      </c>
      <c r="R28" s="45">
        <f>_xlfn.XLOOKUP(B28,'Format-Blr'!$B$7:$B$44,'Format-Blr'!AZ$7:AZ$44)</f>
        <v>0</v>
      </c>
      <c r="S28" s="45">
        <f>_xlfn.XLOOKUP(B28,'Format-Blr'!$B$7:$B$44,'Format-Blr'!BF$7:BF$44)</f>
        <v>0</v>
      </c>
      <c r="T28" s="45">
        <f>_xlfn.XLOOKUP(B28,'Format-Blr'!$B$7:$B$44,'Format-Blr'!BG$7:BG$44)</f>
        <v>0</v>
      </c>
      <c r="U28" s="45">
        <f>_xlfn.XLOOKUP(B28,'Format-Blr'!$B$7:$B$44,'Format-Blr'!BM$7:BM$44)</f>
        <v>0</v>
      </c>
      <c r="V28" s="45">
        <f>_xlfn.XLOOKUP(B28,'Format-Blr'!$B$7:$B$44,'Format-Blr'!BN$7:BN$44)</f>
        <v>0</v>
      </c>
      <c r="W28" s="45">
        <f>_xlfn.XLOOKUP(B28,'Format-Blr'!$B$7:$B$44,'Format-Blr'!BT$7:BT$44)</f>
        <v>0</v>
      </c>
      <c r="X28" s="45">
        <f>_xlfn.XLOOKUP(B28,'Format-Blr'!$B$7:$B$44,'Format-Blr'!BU$7:BU$44)</f>
        <v>0</v>
      </c>
      <c r="Y28" s="34">
        <f t="shared" si="1"/>
        <v>144</v>
      </c>
      <c r="Z28" s="34">
        <f t="shared" si="2"/>
        <v>132</v>
      </c>
      <c r="AA28" s="38">
        <f t="shared" si="3"/>
        <v>91.666666666666657</v>
      </c>
      <c r="AB28" s="44">
        <f>_xlfn.XLOOKUP(B28,'Format-Blr'!$B$51:$B$88,'Format-Blr'!I$51:I$88)</f>
        <v>113</v>
      </c>
      <c r="AC28" s="45">
        <f>_xlfn.XLOOKUP(B28,'Format-Blr'!$B$51:$B$88,'Format-Blr'!J$51:J$88)</f>
        <v>32</v>
      </c>
      <c r="AD28" s="45">
        <f>_xlfn.XLOOKUP(B28,'Format-Blr'!$B$51:$B$88,'Format-Blr'!P$51:P$88)</f>
        <v>41</v>
      </c>
      <c r="AE28" s="45">
        <f>_xlfn.XLOOKUP(B28,'Format-Blr'!$B$51:$B$88,'Format-Blr'!Q$51:Q$88)</f>
        <v>15</v>
      </c>
      <c r="AF28" s="45">
        <f>_xlfn.XLOOKUP(B28,'Format-Blr'!$B$51:$B$88,'Format-Blr'!W$51:W$88)</f>
        <v>0</v>
      </c>
      <c r="AG28" s="45">
        <f>_xlfn.XLOOKUP(B28,'Format-Blr'!$B$51:$B$88,'Format-Blr'!X$51:X$88)</f>
        <v>0</v>
      </c>
      <c r="AH28" s="45">
        <f>_xlfn.XLOOKUP(B28,'Format-Blr'!$B$51:$B$88,'Format-Blr'!AD$51:AD$88)</f>
        <v>0</v>
      </c>
      <c r="AI28" s="45">
        <f>_xlfn.XLOOKUP(B28,'Format-Blr'!$B$51:$B$88,'Format-Blr'!AE$51:AE$88)</f>
        <v>0</v>
      </c>
      <c r="AJ28" s="45">
        <f>_xlfn.XLOOKUP(B28,'Format-Blr'!$B$51:$B$88,'Format-Blr'!AK$51:AK$88)</f>
        <v>0</v>
      </c>
      <c r="AK28" s="45">
        <f>_xlfn.XLOOKUP(B28,'Format-Blr'!$B$51:$B$88,'Format-Blr'!AL$51:AL$88)</f>
        <v>0</v>
      </c>
      <c r="AL28" s="45">
        <f>_xlfn.XLOOKUP(B28,'Format-Blr'!$B$51:$B$88,'Format-Blr'!AR$51:AR$88)</f>
        <v>0</v>
      </c>
      <c r="AM28" s="45">
        <f>_xlfn.XLOOKUP(B28,'Format-Blr'!$B$51:$B$88,'Format-Blr'!AS$51:AS$88)</f>
        <v>0</v>
      </c>
      <c r="AN28" s="45">
        <f>_xlfn.XLOOKUP(B28,'Format-Blr'!$B$51:$B$88,'Format-Blr'!AY$51:AY$88)</f>
        <v>0</v>
      </c>
      <c r="AO28" s="45">
        <f>_xlfn.XLOOKUP(B28,'Format-Blr'!$B$51:$B$88,'Format-Blr'!AZ$51:AZ$88)</f>
        <v>0</v>
      </c>
      <c r="AP28" s="45">
        <f>_xlfn.XLOOKUP(B28,'Format-Blr'!$B$51:$B$88,'Format-Blr'!BF$51:BF$88)</f>
        <v>0</v>
      </c>
      <c r="AQ28" s="45">
        <f>_xlfn.XLOOKUP(B28,'Format-Blr'!$B$51:$B$88,'Format-Blr'!BG$51:BG$88)</f>
        <v>0</v>
      </c>
      <c r="AR28" s="45">
        <f>_xlfn.XLOOKUP(B28,'Format-Blr'!$B$51:$B$88,'Format-Blr'!BM$51:BM$88)</f>
        <v>0</v>
      </c>
      <c r="AS28" s="45">
        <f>_xlfn.XLOOKUP(B28,'Format-Blr'!$B$51:$B$88,'Format-Blr'!BN$51:BN$88)</f>
        <v>0</v>
      </c>
      <c r="AT28" s="45">
        <f>_xlfn.XLOOKUP(B28,'Format-Blr'!$B$51:$B$88,'Format-Blr'!BT$51:BT$88)</f>
        <v>0</v>
      </c>
      <c r="AU28" s="45">
        <f>_xlfn.XLOOKUP(B28,'Format-Blr'!$B$51:$B$88,'Format-Blr'!BU$51:BU$88)</f>
        <v>0</v>
      </c>
      <c r="AV28" s="34">
        <f t="shared" si="4"/>
        <v>154</v>
      </c>
      <c r="AW28" s="34">
        <f t="shared" si="5"/>
        <v>47</v>
      </c>
      <c r="AX28" s="38">
        <f t="shared" si="6"/>
        <v>30.519480519480517</v>
      </c>
      <c r="AY28" s="37">
        <f>_xlfn.XLOOKUP(B28,'Format-Blr'!B$51:B$88,'Format-Blr'!CF$51:CF$88)</f>
        <v>0</v>
      </c>
      <c r="AZ28" s="34">
        <f>_xlfn.XLOOKUP(B28,'Format-Blr'!B$51:B$88,'Format-Blr'!CG$51:CG$88)</f>
        <v>0</v>
      </c>
      <c r="BA28" s="35" t="e">
        <f t="shared" si="7"/>
        <v>#DIV/0!</v>
      </c>
      <c r="BB28" s="37">
        <f>_xlfn.XLOOKUP(B28,'Format-Blr'!$B$7:$B$44,'Format-Blr'!CF$7:CF$44)</f>
        <v>31</v>
      </c>
      <c r="BC28" s="34">
        <f>_xlfn.XLOOKUP(B28,'Format-Blr'!$B$7:$B$44,'Format-Blr'!CG$7:CG$44)</f>
        <v>0</v>
      </c>
      <c r="BD28" s="34">
        <f>_xlfn.XLOOKUP(B28,'Format-Blr'!$B$7:$B$44,'Format-Blr'!CI$7:CI$44)</f>
        <v>33</v>
      </c>
      <c r="BE28" s="34">
        <f>_xlfn.XLOOKUP(B28,'Format-Blr'!$B$7:$B$44,'Format-Blr'!CJ$7:CJ$44)</f>
        <v>0</v>
      </c>
      <c r="BF28" s="34">
        <f>_xlfn.XLOOKUP(B28,'Format-Blr'!$B$7:$B$44,'Format-Blr'!CL$7:CL$44)</f>
        <v>16</v>
      </c>
      <c r="BG28" s="34">
        <f>_xlfn.XLOOKUP(B28,'Format-Blr'!$B$7:$B$44,'Format-Blr'!CM$7:CM$44)</f>
        <v>0</v>
      </c>
      <c r="BH28" s="34">
        <f>_xlfn.XLOOKUP(B28,'Format-Blr'!$B$7:$B$44,'Format-Blr'!CO$7:CO$44)</f>
        <v>0</v>
      </c>
      <c r="BI28" s="52">
        <f>_xlfn.XLOOKUP(B28,'Format-Blr'!$B$7:$B$44,'Format-Blr'!CP$7:CP$44)</f>
        <v>0</v>
      </c>
      <c r="BJ28" s="37">
        <f t="shared" si="13"/>
        <v>80</v>
      </c>
      <c r="BK28" s="34">
        <f t="shared" si="8"/>
        <v>0</v>
      </c>
      <c r="BL28" s="38">
        <f t="shared" si="9"/>
        <v>0</v>
      </c>
      <c r="BN28" s="37">
        <f t="shared" si="10"/>
        <v>378</v>
      </c>
      <c r="BO28" s="34">
        <f t="shared" si="11"/>
        <v>179</v>
      </c>
      <c r="BP28" s="38">
        <f t="shared" si="12"/>
        <v>47.354497354497354</v>
      </c>
    </row>
    <row r="29" spans="1:68" s="9" customFormat="1" ht="21" customHeight="1" x14ac:dyDescent="0.25">
      <c r="A29" s="46" t="s">
        <v>23</v>
      </c>
      <c r="B29" s="55" t="s">
        <v>1</v>
      </c>
      <c r="C29" s="50" t="s">
        <v>15</v>
      </c>
      <c r="D29" s="49" t="s">
        <v>16</v>
      </c>
      <c r="E29" s="44">
        <f>_xlfn.XLOOKUP(B29,'Format-Blr'!$B$7:$B$44,'Format-Blr'!I$7:I$44)</f>
        <v>0</v>
      </c>
      <c r="F29" s="45">
        <f>_xlfn.XLOOKUP(B29,'Format-Blr'!$B$7:$B$44,'Format-Blr'!J$7:J$44)</f>
        <v>0</v>
      </c>
      <c r="G29" s="45">
        <f>_xlfn.XLOOKUP(B29,'Format-Blr'!$B$7:$B$44,'Format-Blr'!P$7:P$44)</f>
        <v>0</v>
      </c>
      <c r="H29" s="45">
        <f>_xlfn.XLOOKUP(B29,'Format-Blr'!$B$7:$B$44,'Format-Blr'!Q$7:Q$44)</f>
        <v>0</v>
      </c>
      <c r="I29" s="45">
        <f>_xlfn.XLOOKUP(B29,'Format-Blr'!$B$7:$B$44,'Format-Blr'!W$7:W$44)</f>
        <v>31</v>
      </c>
      <c r="J29" s="45">
        <f>_xlfn.XLOOKUP(B29,'Format-Blr'!$B$7:$B$44,'Format-Blr'!X$7:X$44)</f>
        <v>28</v>
      </c>
      <c r="K29" s="45">
        <f>_xlfn.XLOOKUP(B29,'Format-Blr'!$B$7:$B$44,'Format-Blr'!AD$7:AD$44)</f>
        <v>0</v>
      </c>
      <c r="L29" s="45">
        <f>_xlfn.XLOOKUP(B29,'Format-Blr'!$B$7:$B$44,'Format-Blr'!AE$7:AE$44)</f>
        <v>0</v>
      </c>
      <c r="M29" s="45">
        <f>_xlfn.XLOOKUP(B29,'Format-Blr'!$B$7:$B$44,'Format-Blr'!AK$7:AK$44)</f>
        <v>90</v>
      </c>
      <c r="N29" s="45">
        <f>_xlfn.XLOOKUP(B29,'Format-Blr'!$B$7:$B$44,'Format-Blr'!AL$7:AL$44)</f>
        <v>80</v>
      </c>
      <c r="O29" s="45">
        <f>_xlfn.XLOOKUP(B29,'Format-Blr'!$B$7:$B$44,'Format-Blr'!AR$7:AR$44)</f>
        <v>47</v>
      </c>
      <c r="P29" s="45">
        <f>_xlfn.XLOOKUP(B29,'Format-Blr'!$B$7:$B$44,'Format-Blr'!AS$7:AS$44)</f>
        <v>44</v>
      </c>
      <c r="Q29" s="45">
        <f>_xlfn.XLOOKUP(B29,'Format-Blr'!$B$7:$B$44,'Format-Blr'!AY$7:AY$44)</f>
        <v>51</v>
      </c>
      <c r="R29" s="45">
        <f>_xlfn.XLOOKUP(B29,'Format-Blr'!$B$7:$B$44,'Format-Blr'!AZ$7:AZ$44)</f>
        <v>45</v>
      </c>
      <c r="S29" s="45">
        <f>_xlfn.XLOOKUP(B29,'Format-Blr'!$B$7:$B$44,'Format-Blr'!BF$7:BF$44)</f>
        <v>0</v>
      </c>
      <c r="T29" s="45">
        <f>_xlfn.XLOOKUP(B29,'Format-Blr'!$B$7:$B$44,'Format-Blr'!BG$7:BG$44)</f>
        <v>0</v>
      </c>
      <c r="U29" s="45">
        <f>_xlfn.XLOOKUP(B29,'Format-Blr'!$B$7:$B$44,'Format-Blr'!BM$7:BM$44)</f>
        <v>0</v>
      </c>
      <c r="V29" s="45">
        <f>_xlfn.XLOOKUP(B29,'Format-Blr'!$B$7:$B$44,'Format-Blr'!BN$7:BN$44)</f>
        <v>0</v>
      </c>
      <c r="W29" s="45">
        <f>_xlfn.XLOOKUP(B29,'Format-Blr'!$B$7:$B$44,'Format-Blr'!BT$7:BT$44)</f>
        <v>40</v>
      </c>
      <c r="X29" s="45">
        <f>_xlfn.XLOOKUP(B29,'Format-Blr'!$B$7:$B$44,'Format-Blr'!BU$7:BU$44)</f>
        <v>35</v>
      </c>
      <c r="Y29" s="34">
        <f t="shared" si="1"/>
        <v>259</v>
      </c>
      <c r="Z29" s="34">
        <f t="shared" si="2"/>
        <v>232</v>
      </c>
      <c r="AA29" s="38">
        <f t="shared" si="3"/>
        <v>89.575289575289574</v>
      </c>
      <c r="AB29" s="44">
        <f>_xlfn.XLOOKUP(B29,'Format-Blr'!$B$51:$B$88,'Format-Blr'!I$51:I$88)</f>
        <v>0</v>
      </c>
      <c r="AC29" s="45">
        <f>_xlfn.XLOOKUP(B29,'Format-Blr'!$B$51:$B$88,'Format-Blr'!J$51:J$88)</f>
        <v>0</v>
      </c>
      <c r="AD29" s="45">
        <f>_xlfn.XLOOKUP(B29,'Format-Blr'!$B$51:$B$88,'Format-Blr'!P$51:P$88)</f>
        <v>0</v>
      </c>
      <c r="AE29" s="45">
        <f>_xlfn.XLOOKUP(B29,'Format-Blr'!$B$51:$B$88,'Format-Blr'!Q$51:Q$88)</f>
        <v>0</v>
      </c>
      <c r="AF29" s="45">
        <f>_xlfn.XLOOKUP(B29,'Format-Blr'!$B$51:$B$88,'Format-Blr'!W$51:W$88)</f>
        <v>30</v>
      </c>
      <c r="AG29" s="45">
        <f>_xlfn.XLOOKUP(B29,'Format-Blr'!$B$51:$B$88,'Format-Blr'!X$51:X$88)</f>
        <v>10</v>
      </c>
      <c r="AH29" s="45">
        <f>_xlfn.XLOOKUP(B29,'Format-Blr'!$B$51:$B$88,'Format-Blr'!AD$51:AD$88)</f>
        <v>0</v>
      </c>
      <c r="AI29" s="45">
        <f>_xlfn.XLOOKUP(B29,'Format-Blr'!$B$51:$B$88,'Format-Blr'!AE$51:AE$88)</f>
        <v>0</v>
      </c>
      <c r="AJ29" s="45">
        <f>_xlfn.XLOOKUP(B29,'Format-Blr'!$B$51:$B$88,'Format-Blr'!AK$51:AK$88)</f>
        <v>79</v>
      </c>
      <c r="AK29" s="45">
        <f>_xlfn.XLOOKUP(B29,'Format-Blr'!$B$51:$B$88,'Format-Blr'!AL$51:AL$88)</f>
        <v>27</v>
      </c>
      <c r="AL29" s="45">
        <f>_xlfn.XLOOKUP(B29,'Format-Blr'!$B$51:$B$88,'Format-Blr'!AR$51:AR$88)</f>
        <v>40</v>
      </c>
      <c r="AM29" s="45">
        <f>_xlfn.XLOOKUP(B29,'Format-Blr'!$B$51:$B$88,'Format-Blr'!AS$51:AS$88)</f>
        <v>8</v>
      </c>
      <c r="AN29" s="45">
        <f>_xlfn.XLOOKUP(B29,'Format-Blr'!$B$51:$B$88,'Format-Blr'!AY$51:AY$88)</f>
        <v>46</v>
      </c>
      <c r="AO29" s="45">
        <f>_xlfn.XLOOKUP(B29,'Format-Blr'!$B$51:$B$88,'Format-Blr'!AZ$51:AZ$88)</f>
        <v>31</v>
      </c>
      <c r="AP29" s="45">
        <f>_xlfn.XLOOKUP(B29,'Format-Blr'!$B$51:$B$88,'Format-Blr'!BF$51:BF$88)</f>
        <v>0</v>
      </c>
      <c r="AQ29" s="45">
        <f>_xlfn.XLOOKUP(B29,'Format-Blr'!$B$51:$B$88,'Format-Blr'!BG$51:BG$88)</f>
        <v>0</v>
      </c>
      <c r="AR29" s="45">
        <f>_xlfn.XLOOKUP(B29,'Format-Blr'!$B$51:$B$88,'Format-Blr'!BM$51:BM$88)</f>
        <v>38</v>
      </c>
      <c r="AS29" s="45">
        <f>_xlfn.XLOOKUP(B29,'Format-Blr'!$B$51:$B$88,'Format-Blr'!BN$51:BN$88)</f>
        <v>7</v>
      </c>
      <c r="AT29" s="45">
        <f>_xlfn.XLOOKUP(B29,'Format-Blr'!$B$51:$B$88,'Format-Blr'!BT$51:BT$88)</f>
        <v>0</v>
      </c>
      <c r="AU29" s="45">
        <f>_xlfn.XLOOKUP(B29,'Format-Blr'!$B$51:$B$88,'Format-Blr'!BU$51:BU$88)</f>
        <v>0</v>
      </c>
      <c r="AV29" s="34">
        <f t="shared" si="4"/>
        <v>233</v>
      </c>
      <c r="AW29" s="34">
        <f t="shared" si="5"/>
        <v>83</v>
      </c>
      <c r="AX29" s="38">
        <f t="shared" si="6"/>
        <v>35.622317596566525</v>
      </c>
      <c r="AY29" s="37">
        <f>_xlfn.XLOOKUP(B29,'Format-Blr'!B$51:B$88,'Format-Blr'!CF$51:CF$88)</f>
        <v>0</v>
      </c>
      <c r="AZ29" s="34">
        <f>_xlfn.XLOOKUP(B29,'Format-Blr'!B$51:B$88,'Format-Blr'!CG$51:CG$88)</f>
        <v>0</v>
      </c>
      <c r="BA29" s="35" t="e">
        <f t="shared" si="7"/>
        <v>#DIV/0!</v>
      </c>
      <c r="BB29" s="37">
        <f>_xlfn.XLOOKUP(B29,'Format-Blr'!$B$7:$B$44,'Format-Blr'!CF$7:CF$44)</f>
        <v>0</v>
      </c>
      <c r="BC29" s="34">
        <f>_xlfn.XLOOKUP(B29,'Format-Blr'!$B$7:$B$44,'Format-Blr'!CG$7:CG$44)</f>
        <v>0</v>
      </c>
      <c r="BD29" s="34">
        <f>_xlfn.XLOOKUP(B29,'Format-Blr'!$B$7:$B$44,'Format-Blr'!CI$7:CI$44)</f>
        <v>0</v>
      </c>
      <c r="BE29" s="34">
        <f>_xlfn.XLOOKUP(B29,'Format-Blr'!$B$7:$B$44,'Format-Blr'!CJ$7:CJ$44)</f>
        <v>0</v>
      </c>
      <c r="BF29" s="34">
        <f>_xlfn.XLOOKUP(B29,'Format-Blr'!$B$7:$B$44,'Format-Blr'!CL$7:CL$44)</f>
        <v>0</v>
      </c>
      <c r="BG29" s="34">
        <f>_xlfn.XLOOKUP(B29,'Format-Blr'!$B$7:$B$44,'Format-Blr'!CM$7:CM$44)</f>
        <v>0</v>
      </c>
      <c r="BH29" s="34">
        <f>_xlfn.XLOOKUP(B29,'Format-Blr'!$B$7:$B$44,'Format-Blr'!CO$7:CO$44)</f>
        <v>0</v>
      </c>
      <c r="BI29" s="52">
        <f>_xlfn.XLOOKUP(B29,'Format-Blr'!$B$7:$B$44,'Format-Blr'!CP$7:CP$44)</f>
        <v>0</v>
      </c>
      <c r="BJ29" s="37">
        <f t="shared" si="13"/>
        <v>0</v>
      </c>
      <c r="BK29" s="34">
        <f t="shared" si="8"/>
        <v>0</v>
      </c>
      <c r="BL29" s="38" t="e">
        <f t="shared" si="9"/>
        <v>#DIV/0!</v>
      </c>
      <c r="BN29" s="37">
        <f t="shared" si="10"/>
        <v>492</v>
      </c>
      <c r="BO29" s="34">
        <f t="shared" si="11"/>
        <v>315</v>
      </c>
      <c r="BP29" s="38">
        <f t="shared" si="12"/>
        <v>64.024390243902445</v>
      </c>
    </row>
    <row r="30" spans="1:68" s="9" customFormat="1" ht="21" customHeight="1" x14ac:dyDescent="0.25">
      <c r="A30" s="46" t="s">
        <v>23</v>
      </c>
      <c r="B30" s="55" t="s">
        <v>54</v>
      </c>
      <c r="C30" s="50" t="s">
        <v>15</v>
      </c>
      <c r="D30" s="49" t="s">
        <v>16</v>
      </c>
      <c r="E30" s="44">
        <f>_xlfn.XLOOKUP(B30,'Format-Blr'!$B$7:$B$44,'Format-Blr'!I$7:I$44)</f>
        <v>0</v>
      </c>
      <c r="F30" s="45">
        <f>_xlfn.XLOOKUP(B30,'Format-Blr'!$B$7:$B$44,'Format-Blr'!J$7:J$44)</f>
        <v>0</v>
      </c>
      <c r="G30" s="45">
        <f>_xlfn.XLOOKUP(B30,'Format-Blr'!$B$7:$B$44,'Format-Blr'!P$7:P$44)</f>
        <v>0</v>
      </c>
      <c r="H30" s="45">
        <f>_xlfn.XLOOKUP(B30,'Format-Blr'!$B$7:$B$44,'Format-Blr'!Q$7:Q$44)</f>
        <v>0</v>
      </c>
      <c r="I30" s="45">
        <f>_xlfn.XLOOKUP(B30,'Format-Blr'!$B$7:$B$44,'Format-Blr'!W$7:W$44)</f>
        <v>0</v>
      </c>
      <c r="J30" s="45">
        <f>_xlfn.XLOOKUP(B30,'Format-Blr'!$B$7:$B$44,'Format-Blr'!X$7:X$44)</f>
        <v>0</v>
      </c>
      <c r="K30" s="45">
        <f>_xlfn.XLOOKUP(B30,'Format-Blr'!$B$7:$B$44,'Format-Blr'!AD$7:AD$44)</f>
        <v>0</v>
      </c>
      <c r="L30" s="45">
        <f>_xlfn.XLOOKUP(B30,'Format-Blr'!$B$7:$B$44,'Format-Blr'!AE$7:AE$44)</f>
        <v>0</v>
      </c>
      <c r="M30" s="45">
        <f>_xlfn.XLOOKUP(B30,'Format-Blr'!$B$7:$B$44,'Format-Blr'!AK$7:AK$44)</f>
        <v>30</v>
      </c>
      <c r="N30" s="45">
        <f>_xlfn.XLOOKUP(B30,'Format-Blr'!$B$7:$B$44,'Format-Blr'!AL$7:AL$44)</f>
        <v>27</v>
      </c>
      <c r="O30" s="45">
        <f>_xlfn.XLOOKUP(B30,'Format-Blr'!$B$7:$B$44,'Format-Blr'!AR$7:AR$44)</f>
        <v>41</v>
      </c>
      <c r="P30" s="45">
        <f>_xlfn.XLOOKUP(B30,'Format-Blr'!$B$7:$B$44,'Format-Blr'!AS$7:AS$44)</f>
        <v>31</v>
      </c>
      <c r="Q30" s="45">
        <f>_xlfn.XLOOKUP(B30,'Format-Blr'!$B$7:$B$44,'Format-Blr'!AY$7:AY$44)</f>
        <v>0</v>
      </c>
      <c r="R30" s="45">
        <f>_xlfn.XLOOKUP(B30,'Format-Blr'!$B$7:$B$44,'Format-Blr'!AZ$7:AZ$44)</f>
        <v>0</v>
      </c>
      <c r="S30" s="45">
        <f>_xlfn.XLOOKUP(B30,'Format-Blr'!$B$7:$B$44,'Format-Blr'!BF$7:BF$44)</f>
        <v>0</v>
      </c>
      <c r="T30" s="45">
        <f>_xlfn.XLOOKUP(B30,'Format-Blr'!$B$7:$B$44,'Format-Blr'!BG$7:BG$44)</f>
        <v>0</v>
      </c>
      <c r="U30" s="45">
        <f>_xlfn.XLOOKUP(B30,'Format-Blr'!$B$7:$B$44,'Format-Blr'!BM$7:BM$44)</f>
        <v>0</v>
      </c>
      <c r="V30" s="45">
        <f>_xlfn.XLOOKUP(B30,'Format-Blr'!$B$7:$B$44,'Format-Blr'!BN$7:BN$44)</f>
        <v>0</v>
      </c>
      <c r="W30" s="45">
        <f>_xlfn.XLOOKUP(B30,'Format-Blr'!$B$7:$B$44,'Format-Blr'!BT$7:BT$44)</f>
        <v>22</v>
      </c>
      <c r="X30" s="45">
        <f>_xlfn.XLOOKUP(B30,'Format-Blr'!$B$7:$B$44,'Format-Blr'!BU$7:BU$44)</f>
        <v>19</v>
      </c>
      <c r="Y30" s="34">
        <f t="shared" si="1"/>
        <v>93</v>
      </c>
      <c r="Z30" s="34">
        <f t="shared" si="2"/>
        <v>77</v>
      </c>
      <c r="AA30" s="38">
        <f t="shared" si="3"/>
        <v>82.795698924731184</v>
      </c>
      <c r="AB30" s="44">
        <f>_xlfn.XLOOKUP(B30,'Format-Blr'!$B$51:$B$88,'Format-Blr'!I$51:I$88)</f>
        <v>0</v>
      </c>
      <c r="AC30" s="45">
        <f>_xlfn.XLOOKUP(B30,'Format-Blr'!$B$51:$B$88,'Format-Blr'!J$51:J$88)</f>
        <v>0</v>
      </c>
      <c r="AD30" s="45">
        <f>_xlfn.XLOOKUP(B30,'Format-Blr'!$B$51:$B$88,'Format-Blr'!P$51:P$88)</f>
        <v>0</v>
      </c>
      <c r="AE30" s="45">
        <f>_xlfn.XLOOKUP(B30,'Format-Blr'!$B$51:$B$88,'Format-Blr'!Q$51:Q$88)</f>
        <v>0</v>
      </c>
      <c r="AF30" s="45">
        <f>_xlfn.XLOOKUP(B30,'Format-Blr'!$B$51:$B$88,'Format-Blr'!W$51:W$88)</f>
        <v>0</v>
      </c>
      <c r="AG30" s="45">
        <f>_xlfn.XLOOKUP(B30,'Format-Blr'!$B$51:$B$88,'Format-Blr'!X$51:X$88)</f>
        <v>0</v>
      </c>
      <c r="AH30" s="45">
        <f>_xlfn.XLOOKUP(B30,'Format-Blr'!$B$51:$B$88,'Format-Blr'!AD$51:AD$88)</f>
        <v>0</v>
      </c>
      <c r="AI30" s="45">
        <f>_xlfn.XLOOKUP(B30,'Format-Blr'!$B$51:$B$88,'Format-Blr'!AE$51:AE$88)</f>
        <v>0</v>
      </c>
      <c r="AJ30" s="45">
        <f>_xlfn.XLOOKUP(B30,'Format-Blr'!$B$51:$B$88,'Format-Blr'!AK$51:AK$88)</f>
        <v>22</v>
      </c>
      <c r="AK30" s="45">
        <f>_xlfn.XLOOKUP(B30,'Format-Blr'!$B$51:$B$88,'Format-Blr'!AL$51:AL$88)</f>
        <v>15</v>
      </c>
      <c r="AL30" s="45">
        <f>_xlfn.XLOOKUP(B30,'Format-Blr'!$B$51:$B$88,'Format-Blr'!AR$51:AR$88)</f>
        <v>37</v>
      </c>
      <c r="AM30" s="45">
        <f>_xlfn.XLOOKUP(B30,'Format-Blr'!$B$51:$B$88,'Format-Blr'!AS$51:AS$88)</f>
        <v>15</v>
      </c>
      <c r="AN30" s="45">
        <f>_xlfn.XLOOKUP(B30,'Format-Blr'!$B$51:$B$88,'Format-Blr'!AY$51:AY$88)</f>
        <v>0</v>
      </c>
      <c r="AO30" s="45">
        <f>_xlfn.XLOOKUP(B30,'Format-Blr'!$B$51:$B$88,'Format-Blr'!AZ$51:AZ$88)</f>
        <v>0</v>
      </c>
      <c r="AP30" s="45">
        <f>_xlfn.XLOOKUP(B30,'Format-Blr'!$B$51:$B$88,'Format-Blr'!BF$51:BF$88)</f>
        <v>0</v>
      </c>
      <c r="AQ30" s="45">
        <f>_xlfn.XLOOKUP(B30,'Format-Blr'!$B$51:$B$88,'Format-Blr'!BG$51:BG$88)</f>
        <v>0</v>
      </c>
      <c r="AR30" s="45">
        <f>_xlfn.XLOOKUP(B30,'Format-Blr'!$B$51:$B$88,'Format-Blr'!BM$51:BM$88)</f>
        <v>0</v>
      </c>
      <c r="AS30" s="45">
        <f>_xlfn.XLOOKUP(B30,'Format-Blr'!$B$51:$B$88,'Format-Blr'!BN$51:BN$88)</f>
        <v>0</v>
      </c>
      <c r="AT30" s="45">
        <f>_xlfn.XLOOKUP(B30,'Format-Blr'!$B$51:$B$88,'Format-Blr'!BT$51:BT$88)</f>
        <v>18</v>
      </c>
      <c r="AU30" s="45">
        <f>_xlfn.XLOOKUP(B30,'Format-Blr'!$B$51:$B$88,'Format-Blr'!BU$51:BU$88)</f>
        <v>6</v>
      </c>
      <c r="AV30" s="34">
        <f t="shared" si="4"/>
        <v>77</v>
      </c>
      <c r="AW30" s="34">
        <f t="shared" si="5"/>
        <v>36</v>
      </c>
      <c r="AX30" s="38">
        <f t="shared" si="6"/>
        <v>46.753246753246749</v>
      </c>
      <c r="AY30" s="37">
        <f>_xlfn.XLOOKUP(B30,'Format-Blr'!B$51:B$88,'Format-Blr'!CF$51:CF$88)</f>
        <v>0</v>
      </c>
      <c r="AZ30" s="34">
        <f>_xlfn.XLOOKUP(B30,'Format-Blr'!B$51:B$88,'Format-Blr'!CG$51:CG$88)</f>
        <v>0</v>
      </c>
      <c r="BA30" s="35" t="e">
        <f t="shared" si="7"/>
        <v>#DIV/0!</v>
      </c>
      <c r="BB30" s="37">
        <f>_xlfn.XLOOKUP(B30,'Format-Blr'!$B$7:$B$44,'Format-Blr'!CF$7:CF$44)</f>
        <v>0</v>
      </c>
      <c r="BC30" s="34">
        <f>_xlfn.XLOOKUP(B30,'Format-Blr'!$B$7:$B$44,'Format-Blr'!CG$7:CG$44)</f>
        <v>0</v>
      </c>
      <c r="BD30" s="34">
        <f>_xlfn.XLOOKUP(B30,'Format-Blr'!$B$7:$B$44,'Format-Blr'!CI$7:CI$44)</f>
        <v>0</v>
      </c>
      <c r="BE30" s="34">
        <f>_xlfn.XLOOKUP(B30,'Format-Blr'!$B$7:$B$44,'Format-Blr'!CJ$7:CJ$44)</f>
        <v>0</v>
      </c>
      <c r="BF30" s="34">
        <f>_xlfn.XLOOKUP(B30,'Format-Blr'!$B$7:$B$44,'Format-Blr'!CL$7:CL$44)</f>
        <v>0</v>
      </c>
      <c r="BG30" s="34">
        <f>_xlfn.XLOOKUP(B30,'Format-Blr'!$B$7:$B$44,'Format-Blr'!CM$7:CM$44)</f>
        <v>0</v>
      </c>
      <c r="BH30" s="34">
        <f>_xlfn.XLOOKUP(B30,'Format-Blr'!$B$7:$B$44,'Format-Blr'!CO$7:CO$44)</f>
        <v>0</v>
      </c>
      <c r="BI30" s="52">
        <f>_xlfn.XLOOKUP(B30,'Format-Blr'!$B$7:$B$44,'Format-Blr'!CP$7:CP$44)</f>
        <v>0</v>
      </c>
      <c r="BJ30" s="37">
        <f t="shared" si="13"/>
        <v>0</v>
      </c>
      <c r="BK30" s="34">
        <f t="shared" si="8"/>
        <v>0</v>
      </c>
      <c r="BL30" s="38" t="e">
        <f t="shared" si="9"/>
        <v>#DIV/0!</v>
      </c>
      <c r="BN30" s="37">
        <f t="shared" si="10"/>
        <v>170</v>
      </c>
      <c r="BO30" s="34">
        <f t="shared" si="11"/>
        <v>113</v>
      </c>
      <c r="BP30" s="38">
        <f t="shared" si="12"/>
        <v>66.470588235294116</v>
      </c>
    </row>
    <row r="31" spans="1:68" s="9" customFormat="1" ht="21" customHeight="1" x14ac:dyDescent="0.25">
      <c r="A31" s="46" t="s">
        <v>6</v>
      </c>
      <c r="B31" s="47" t="s">
        <v>6</v>
      </c>
      <c r="C31" s="48" t="s">
        <v>15</v>
      </c>
      <c r="D31" s="49" t="s">
        <v>16</v>
      </c>
      <c r="E31" s="44">
        <f>_xlfn.XLOOKUP(B31,'Format-Blr'!$B$7:$B$44,'Format-Blr'!I$7:I$44)</f>
        <v>0</v>
      </c>
      <c r="F31" s="45">
        <f>_xlfn.XLOOKUP(B31,'Format-Blr'!$B$7:$B$44,'Format-Blr'!J$7:J$44)</f>
        <v>0</v>
      </c>
      <c r="G31" s="45">
        <f>_xlfn.XLOOKUP(B31,'Format-Blr'!$B$7:$B$44,'Format-Blr'!P$7:P$44)</f>
        <v>0</v>
      </c>
      <c r="H31" s="45">
        <f>_xlfn.XLOOKUP(B31,'Format-Blr'!$B$7:$B$44,'Format-Blr'!Q$7:Q$44)</f>
        <v>0</v>
      </c>
      <c r="I31" s="45">
        <f>_xlfn.XLOOKUP(B31,'Format-Blr'!$B$7:$B$44,'Format-Blr'!W$7:W$44)</f>
        <v>0</v>
      </c>
      <c r="J31" s="45">
        <f>_xlfn.XLOOKUP(B31,'Format-Blr'!$B$7:$B$44,'Format-Blr'!X$7:X$44)</f>
        <v>0</v>
      </c>
      <c r="K31" s="45">
        <f>_xlfn.XLOOKUP(B31,'Format-Blr'!$B$7:$B$44,'Format-Blr'!AD$7:AD$44)</f>
        <v>0</v>
      </c>
      <c r="L31" s="45">
        <f>_xlfn.XLOOKUP(B31,'Format-Blr'!$B$7:$B$44,'Format-Blr'!AE$7:AE$44)</f>
        <v>0</v>
      </c>
      <c r="M31" s="45">
        <f>_xlfn.XLOOKUP(B31,'Format-Blr'!$B$7:$B$44,'Format-Blr'!AK$7:AK$44)</f>
        <v>28</v>
      </c>
      <c r="N31" s="45">
        <f>_xlfn.XLOOKUP(B31,'Format-Blr'!$B$7:$B$44,'Format-Blr'!AL$7:AL$44)</f>
        <v>22</v>
      </c>
      <c r="O31" s="45">
        <f>_xlfn.XLOOKUP(B31,'Format-Blr'!$B$7:$B$44,'Format-Blr'!AR$7:AR$44)</f>
        <v>0</v>
      </c>
      <c r="P31" s="45">
        <f>_xlfn.XLOOKUP(B31,'Format-Blr'!$B$7:$B$44,'Format-Blr'!AS$7:AS$44)</f>
        <v>0</v>
      </c>
      <c r="Q31" s="45">
        <f>_xlfn.XLOOKUP(B31,'Format-Blr'!$B$7:$B$44,'Format-Blr'!AY$7:AY$44)</f>
        <v>0</v>
      </c>
      <c r="R31" s="45">
        <f>_xlfn.XLOOKUP(B31,'Format-Blr'!$B$7:$B$44,'Format-Blr'!AZ$7:AZ$44)</f>
        <v>0</v>
      </c>
      <c r="S31" s="45">
        <f>_xlfn.XLOOKUP(B31,'Format-Blr'!$B$7:$B$44,'Format-Blr'!BF$7:BF$44)</f>
        <v>0</v>
      </c>
      <c r="T31" s="45">
        <f>_xlfn.XLOOKUP(B31,'Format-Blr'!$B$7:$B$44,'Format-Blr'!BG$7:BG$44)</f>
        <v>0</v>
      </c>
      <c r="U31" s="45">
        <f>_xlfn.XLOOKUP(B31,'Format-Blr'!$B$7:$B$44,'Format-Blr'!BM$7:BM$44)</f>
        <v>0</v>
      </c>
      <c r="V31" s="45">
        <f>_xlfn.XLOOKUP(B31,'Format-Blr'!$B$7:$B$44,'Format-Blr'!BN$7:BN$44)</f>
        <v>0</v>
      </c>
      <c r="W31" s="45">
        <f>_xlfn.XLOOKUP(B31,'Format-Blr'!$B$7:$B$44,'Format-Blr'!BT$7:BT$44)</f>
        <v>43</v>
      </c>
      <c r="X31" s="45">
        <f>_xlfn.XLOOKUP(B31,'Format-Blr'!$B$7:$B$44,'Format-Blr'!BU$7:BU$44)</f>
        <v>38</v>
      </c>
      <c r="Y31" s="34">
        <f t="shared" si="1"/>
        <v>71</v>
      </c>
      <c r="Z31" s="34">
        <f t="shared" si="2"/>
        <v>60</v>
      </c>
      <c r="AA31" s="38">
        <f t="shared" si="3"/>
        <v>84.507042253521121</v>
      </c>
      <c r="AB31" s="44">
        <f>_xlfn.XLOOKUP(B31,'Format-Blr'!$B$51:$B$88,'Format-Blr'!I$51:I$88)</f>
        <v>0</v>
      </c>
      <c r="AC31" s="45">
        <f>_xlfn.XLOOKUP(B31,'Format-Blr'!$B$51:$B$88,'Format-Blr'!J$51:J$88)</f>
        <v>0</v>
      </c>
      <c r="AD31" s="45">
        <f>_xlfn.XLOOKUP(B31,'Format-Blr'!$B$51:$B$88,'Format-Blr'!P$51:P$88)</f>
        <v>0</v>
      </c>
      <c r="AE31" s="45">
        <f>_xlfn.XLOOKUP(B31,'Format-Blr'!$B$51:$B$88,'Format-Blr'!Q$51:Q$88)</f>
        <v>0</v>
      </c>
      <c r="AF31" s="45">
        <f>_xlfn.XLOOKUP(B31,'Format-Blr'!$B$51:$B$88,'Format-Blr'!W$51:W$88)</f>
        <v>6</v>
      </c>
      <c r="AG31" s="45">
        <f>_xlfn.XLOOKUP(B31,'Format-Blr'!$B$51:$B$88,'Format-Blr'!X$51:X$88)</f>
        <v>6</v>
      </c>
      <c r="AH31" s="45">
        <f>_xlfn.XLOOKUP(B31,'Format-Blr'!$B$51:$B$88,'Format-Blr'!AD$51:AD$88)</f>
        <v>0</v>
      </c>
      <c r="AI31" s="45">
        <f>_xlfn.XLOOKUP(B31,'Format-Blr'!$B$51:$B$88,'Format-Blr'!AE$51:AE$88)</f>
        <v>0</v>
      </c>
      <c r="AJ31" s="45">
        <f>_xlfn.XLOOKUP(B31,'Format-Blr'!$B$51:$B$88,'Format-Blr'!AK$51:AK$88)</f>
        <v>20</v>
      </c>
      <c r="AK31" s="45">
        <f>_xlfn.XLOOKUP(B31,'Format-Blr'!$B$51:$B$88,'Format-Blr'!AL$51:AL$88)</f>
        <v>16</v>
      </c>
      <c r="AL31" s="45">
        <f>_xlfn.XLOOKUP(B31,'Format-Blr'!$B$51:$B$88,'Format-Blr'!AR$51:AR$88)</f>
        <v>18</v>
      </c>
      <c r="AM31" s="45">
        <f>_xlfn.XLOOKUP(B31,'Format-Blr'!$B$51:$B$88,'Format-Blr'!AS$51:AS$88)</f>
        <v>11</v>
      </c>
      <c r="AN31" s="45">
        <f>_xlfn.XLOOKUP(B31,'Format-Blr'!$B$51:$B$88,'Format-Blr'!AY$51:AY$88)</f>
        <v>0</v>
      </c>
      <c r="AO31" s="45">
        <f>_xlfn.XLOOKUP(B31,'Format-Blr'!$B$51:$B$88,'Format-Blr'!AZ$51:AZ$88)</f>
        <v>0</v>
      </c>
      <c r="AP31" s="45">
        <f>_xlfn.XLOOKUP(B31,'Format-Blr'!$B$51:$B$88,'Format-Blr'!BF$51:BF$88)</f>
        <v>0</v>
      </c>
      <c r="AQ31" s="45">
        <f>_xlfn.XLOOKUP(B31,'Format-Blr'!$B$51:$B$88,'Format-Blr'!BG$51:BG$88)</f>
        <v>0</v>
      </c>
      <c r="AR31" s="45">
        <f>_xlfn.XLOOKUP(B31,'Format-Blr'!$B$51:$B$88,'Format-Blr'!BM$51:BM$88)</f>
        <v>6</v>
      </c>
      <c r="AS31" s="45">
        <f>_xlfn.XLOOKUP(B31,'Format-Blr'!$B$51:$B$88,'Format-Blr'!BN$51:BN$88)</f>
        <v>4</v>
      </c>
      <c r="AT31" s="45">
        <f>_xlfn.XLOOKUP(B31,'Format-Blr'!$B$51:$B$88,'Format-Blr'!BT$51:BT$88)</f>
        <v>24</v>
      </c>
      <c r="AU31" s="45">
        <f>_xlfn.XLOOKUP(B31,'Format-Blr'!$B$51:$B$88,'Format-Blr'!BU$51:BU$88)</f>
        <v>21</v>
      </c>
      <c r="AV31" s="34">
        <f t="shared" si="4"/>
        <v>74</v>
      </c>
      <c r="AW31" s="34">
        <f t="shared" si="5"/>
        <v>58</v>
      </c>
      <c r="AX31" s="38">
        <f t="shared" si="6"/>
        <v>78.378378378378372</v>
      </c>
      <c r="AY31" s="37">
        <f>_xlfn.XLOOKUP(B31,'Format-Blr'!B$51:B$88,'Format-Blr'!CF$51:CF$88)</f>
        <v>0</v>
      </c>
      <c r="AZ31" s="34">
        <f>_xlfn.XLOOKUP(B31,'Format-Blr'!B$51:B$88,'Format-Blr'!CG$51:CG$88)</f>
        <v>0</v>
      </c>
      <c r="BA31" s="35" t="e">
        <f t="shared" si="7"/>
        <v>#DIV/0!</v>
      </c>
      <c r="BB31" s="37">
        <f>_xlfn.XLOOKUP(B31,'Format-Blr'!$B$7:$B$44,'Format-Blr'!CF$7:CF$44)</f>
        <v>0</v>
      </c>
      <c r="BC31" s="34">
        <f>_xlfn.XLOOKUP(B31,'Format-Blr'!$B$7:$B$44,'Format-Blr'!CG$7:CG$44)</f>
        <v>0</v>
      </c>
      <c r="BD31" s="34">
        <f>_xlfn.XLOOKUP(B31,'Format-Blr'!$B$7:$B$44,'Format-Blr'!CI$7:CI$44)</f>
        <v>0</v>
      </c>
      <c r="BE31" s="34">
        <f>_xlfn.XLOOKUP(B31,'Format-Blr'!$B$7:$B$44,'Format-Blr'!CJ$7:CJ$44)</f>
        <v>0</v>
      </c>
      <c r="BF31" s="34">
        <f>_xlfn.XLOOKUP(B31,'Format-Blr'!$B$7:$B$44,'Format-Blr'!CL$7:CL$44)</f>
        <v>0</v>
      </c>
      <c r="BG31" s="34">
        <f>_xlfn.XLOOKUP(B31,'Format-Blr'!$B$7:$B$44,'Format-Blr'!CM$7:CM$44)</f>
        <v>0</v>
      </c>
      <c r="BH31" s="34">
        <f>_xlfn.XLOOKUP(B31,'Format-Blr'!$B$7:$B$44,'Format-Blr'!CO$7:CO$44)</f>
        <v>0</v>
      </c>
      <c r="BI31" s="52">
        <f>_xlfn.XLOOKUP(B31,'Format-Blr'!$B$7:$B$44,'Format-Blr'!CP$7:CP$44)</f>
        <v>0</v>
      </c>
      <c r="BJ31" s="37">
        <f t="shared" si="13"/>
        <v>0</v>
      </c>
      <c r="BK31" s="34">
        <f t="shared" si="8"/>
        <v>0</v>
      </c>
      <c r="BL31" s="38" t="e">
        <f t="shared" si="9"/>
        <v>#DIV/0!</v>
      </c>
      <c r="BN31" s="37">
        <f t="shared" si="10"/>
        <v>145</v>
      </c>
      <c r="BO31" s="34">
        <f t="shared" si="11"/>
        <v>118</v>
      </c>
      <c r="BP31" s="38">
        <f t="shared" si="12"/>
        <v>81.379310344827587</v>
      </c>
    </row>
    <row r="32" spans="1:68" s="9" customFormat="1" ht="21" customHeight="1" x14ac:dyDescent="0.25">
      <c r="A32" s="46" t="s">
        <v>3</v>
      </c>
      <c r="B32" s="56" t="s">
        <v>3</v>
      </c>
      <c r="C32" s="48" t="s">
        <v>15</v>
      </c>
      <c r="D32" s="49" t="s">
        <v>16</v>
      </c>
      <c r="E32" s="44">
        <f>_xlfn.XLOOKUP(B32,'Format-Blr'!$B$7:$B$44,'Format-Blr'!I$7:I$44)</f>
        <v>0</v>
      </c>
      <c r="F32" s="45">
        <f>_xlfn.XLOOKUP(B32,'Format-Blr'!$B$7:$B$44,'Format-Blr'!J$7:J$44)</f>
        <v>0</v>
      </c>
      <c r="G32" s="45">
        <f>_xlfn.XLOOKUP(B32,'Format-Blr'!$B$7:$B$44,'Format-Blr'!P$7:P$44)</f>
        <v>44</v>
      </c>
      <c r="H32" s="45">
        <f>_xlfn.XLOOKUP(B32,'Format-Blr'!$B$7:$B$44,'Format-Blr'!Q$7:Q$44)</f>
        <v>40</v>
      </c>
      <c r="I32" s="45">
        <f>_xlfn.XLOOKUP(B32,'Format-Blr'!$B$7:$B$44,'Format-Blr'!W$7:W$44)</f>
        <v>0</v>
      </c>
      <c r="J32" s="45">
        <f>_xlfn.XLOOKUP(B32,'Format-Blr'!$B$7:$B$44,'Format-Blr'!X$7:X$44)</f>
        <v>0</v>
      </c>
      <c r="K32" s="45">
        <f>_xlfn.XLOOKUP(B32,'Format-Blr'!$B$7:$B$44,'Format-Blr'!AD$7:AD$44)</f>
        <v>0</v>
      </c>
      <c r="L32" s="45">
        <f>_xlfn.XLOOKUP(B32,'Format-Blr'!$B$7:$B$44,'Format-Blr'!AE$7:AE$44)</f>
        <v>0</v>
      </c>
      <c r="M32" s="45">
        <f>_xlfn.XLOOKUP(B32,'Format-Blr'!$B$7:$B$44,'Format-Blr'!AK$7:AK$44)</f>
        <v>89</v>
      </c>
      <c r="N32" s="45">
        <f>_xlfn.XLOOKUP(B32,'Format-Blr'!$B$7:$B$44,'Format-Blr'!AL$7:AL$44)</f>
        <v>81</v>
      </c>
      <c r="O32" s="45">
        <f>_xlfn.XLOOKUP(B32,'Format-Blr'!$B$7:$B$44,'Format-Blr'!AR$7:AR$44)</f>
        <v>38</v>
      </c>
      <c r="P32" s="45">
        <f>_xlfn.XLOOKUP(B32,'Format-Blr'!$B$7:$B$44,'Format-Blr'!AS$7:AS$44)</f>
        <v>32</v>
      </c>
      <c r="Q32" s="45">
        <f>_xlfn.XLOOKUP(B32,'Format-Blr'!$B$7:$B$44,'Format-Blr'!AY$7:AY$44)</f>
        <v>77</v>
      </c>
      <c r="R32" s="45">
        <f>_xlfn.XLOOKUP(B32,'Format-Blr'!$B$7:$B$44,'Format-Blr'!AZ$7:AZ$44)</f>
        <v>69</v>
      </c>
      <c r="S32" s="45">
        <f>_xlfn.XLOOKUP(B32,'Format-Blr'!$B$7:$B$44,'Format-Blr'!BF$7:BF$44)</f>
        <v>0</v>
      </c>
      <c r="T32" s="45">
        <f>_xlfn.XLOOKUP(B32,'Format-Blr'!$B$7:$B$44,'Format-Blr'!BG$7:BG$44)</f>
        <v>0</v>
      </c>
      <c r="U32" s="45">
        <f>_xlfn.XLOOKUP(B32,'Format-Blr'!$B$7:$B$44,'Format-Blr'!BM$7:BM$44)</f>
        <v>0</v>
      </c>
      <c r="V32" s="45">
        <f>_xlfn.XLOOKUP(B32,'Format-Blr'!$B$7:$B$44,'Format-Blr'!BN$7:BN$44)</f>
        <v>0</v>
      </c>
      <c r="W32" s="45">
        <f>_xlfn.XLOOKUP(B32,'Format-Blr'!$B$7:$B$44,'Format-Blr'!BT$7:BT$44)</f>
        <v>118</v>
      </c>
      <c r="X32" s="45">
        <f>_xlfn.XLOOKUP(B32,'Format-Blr'!$B$7:$B$44,'Format-Blr'!BU$7:BU$44)</f>
        <v>106</v>
      </c>
      <c r="Y32" s="34">
        <f t="shared" si="1"/>
        <v>366</v>
      </c>
      <c r="Z32" s="34">
        <f t="shared" si="2"/>
        <v>328</v>
      </c>
      <c r="AA32" s="38">
        <f t="shared" si="3"/>
        <v>89.617486338797818</v>
      </c>
      <c r="AB32" s="44">
        <f>_xlfn.XLOOKUP(B32,'Format-Blr'!$B$51:$B$88,'Format-Blr'!I$51:I$88)</f>
        <v>0</v>
      </c>
      <c r="AC32" s="45">
        <f>_xlfn.XLOOKUP(B32,'Format-Blr'!$B$51:$B$88,'Format-Blr'!J$51:J$88)</f>
        <v>0</v>
      </c>
      <c r="AD32" s="45">
        <f>_xlfn.XLOOKUP(B32,'Format-Blr'!$B$51:$B$88,'Format-Blr'!P$51:P$88)</f>
        <v>41</v>
      </c>
      <c r="AE32" s="45">
        <f>_xlfn.XLOOKUP(B32,'Format-Blr'!$B$51:$B$88,'Format-Blr'!Q$51:Q$88)</f>
        <v>13</v>
      </c>
      <c r="AF32" s="45">
        <f>_xlfn.XLOOKUP(B32,'Format-Blr'!$B$51:$B$88,'Format-Blr'!W$51:W$88)</f>
        <v>0</v>
      </c>
      <c r="AG32" s="45">
        <f>_xlfn.XLOOKUP(B32,'Format-Blr'!$B$51:$B$88,'Format-Blr'!X$51:X$88)</f>
        <v>0</v>
      </c>
      <c r="AH32" s="45">
        <f>_xlfn.XLOOKUP(B32,'Format-Blr'!$B$51:$B$88,'Format-Blr'!AD$51:AD$88)</f>
        <v>0</v>
      </c>
      <c r="AI32" s="45">
        <f>_xlfn.XLOOKUP(B32,'Format-Blr'!$B$51:$B$88,'Format-Blr'!AE$51:AE$88)</f>
        <v>0</v>
      </c>
      <c r="AJ32" s="45">
        <f>_xlfn.XLOOKUP(B32,'Format-Blr'!$B$51:$B$88,'Format-Blr'!AK$51:AK$88)</f>
        <v>58</v>
      </c>
      <c r="AK32" s="45">
        <f>_xlfn.XLOOKUP(B32,'Format-Blr'!$B$51:$B$88,'Format-Blr'!AL$51:AL$88)</f>
        <v>29</v>
      </c>
      <c r="AL32" s="45">
        <f>_xlfn.XLOOKUP(B32,'Format-Blr'!$B$51:$B$88,'Format-Blr'!AR$51:AR$88)</f>
        <v>35</v>
      </c>
      <c r="AM32" s="45">
        <f>_xlfn.XLOOKUP(B32,'Format-Blr'!$B$51:$B$88,'Format-Blr'!AS$51:AS$88)</f>
        <v>20</v>
      </c>
      <c r="AN32" s="45">
        <f>_xlfn.XLOOKUP(B32,'Format-Blr'!$B$51:$B$88,'Format-Blr'!AY$51:AY$88)</f>
        <v>64</v>
      </c>
      <c r="AO32" s="45">
        <f>_xlfn.XLOOKUP(B32,'Format-Blr'!$B$51:$B$88,'Format-Blr'!AZ$51:AZ$88)</f>
        <v>34</v>
      </c>
      <c r="AP32" s="45">
        <f>_xlfn.XLOOKUP(B32,'Format-Blr'!$B$51:$B$88,'Format-Blr'!BF$51:BF$88)</f>
        <v>55</v>
      </c>
      <c r="AQ32" s="45">
        <f>_xlfn.XLOOKUP(B32,'Format-Blr'!$B$51:$B$88,'Format-Blr'!BG$51:BG$88)</f>
        <v>19</v>
      </c>
      <c r="AR32" s="45">
        <f>_xlfn.XLOOKUP(B32,'Format-Blr'!$B$51:$B$88,'Format-Blr'!BM$51:BM$88)</f>
        <v>0</v>
      </c>
      <c r="AS32" s="45">
        <f>_xlfn.XLOOKUP(B32,'Format-Blr'!$B$51:$B$88,'Format-Blr'!BN$51:BN$88)</f>
        <v>0</v>
      </c>
      <c r="AT32" s="45">
        <f>_xlfn.XLOOKUP(B32,'Format-Blr'!$B$51:$B$88,'Format-Blr'!BT$51:BT$88)</f>
        <v>70</v>
      </c>
      <c r="AU32" s="45">
        <f>_xlfn.XLOOKUP(B32,'Format-Blr'!$B$51:$B$88,'Format-Blr'!BU$51:BU$88)</f>
        <v>28</v>
      </c>
      <c r="AV32" s="34">
        <f t="shared" si="4"/>
        <v>323</v>
      </c>
      <c r="AW32" s="34">
        <f t="shared" si="5"/>
        <v>143</v>
      </c>
      <c r="AX32" s="38">
        <f t="shared" si="6"/>
        <v>44.27244582043344</v>
      </c>
      <c r="AY32" s="37">
        <f>_xlfn.XLOOKUP(B32,'Format-Blr'!B$51:B$88,'Format-Blr'!CF$51:CF$88)</f>
        <v>8</v>
      </c>
      <c r="AZ32" s="34">
        <f>_xlfn.XLOOKUP(B32,'Format-Blr'!B$51:B$88,'Format-Blr'!CG$51:CG$88)</f>
        <v>2</v>
      </c>
      <c r="BA32" s="35">
        <f t="shared" si="7"/>
        <v>25</v>
      </c>
      <c r="BB32" s="37">
        <f>_xlfn.XLOOKUP(B32,'Format-Blr'!$B$7:$B$44,'Format-Blr'!CF$7:CF$44)</f>
        <v>27</v>
      </c>
      <c r="BC32" s="34">
        <f>_xlfn.XLOOKUP(B32,'Format-Blr'!$B$7:$B$44,'Format-Blr'!CG$7:CG$44)</f>
        <v>20</v>
      </c>
      <c r="BD32" s="34">
        <f>_xlfn.XLOOKUP(B32,'Format-Blr'!$B$7:$B$44,'Format-Blr'!CI$7:CI$44)</f>
        <v>35</v>
      </c>
      <c r="BE32" s="34">
        <f>_xlfn.XLOOKUP(B32,'Format-Blr'!$B$7:$B$44,'Format-Blr'!CJ$7:CJ$44)</f>
        <v>29</v>
      </c>
      <c r="BF32" s="34">
        <f>_xlfn.XLOOKUP(B32,'Format-Blr'!$B$7:$B$44,'Format-Blr'!CL$7:CL$44)</f>
        <v>40</v>
      </c>
      <c r="BG32" s="34">
        <f>_xlfn.XLOOKUP(B32,'Format-Blr'!$B$7:$B$44,'Format-Blr'!CM$7:CM$44)</f>
        <v>32</v>
      </c>
      <c r="BH32" s="34">
        <f>_xlfn.XLOOKUP(B32,'Format-Blr'!$B$7:$B$44,'Format-Blr'!CO$7:CO$44)</f>
        <v>33</v>
      </c>
      <c r="BI32" s="52">
        <f>_xlfn.XLOOKUP(B32,'Format-Blr'!$B$7:$B$44,'Format-Blr'!CP$7:CP$44)</f>
        <v>0</v>
      </c>
      <c r="BJ32" s="37">
        <f t="shared" si="13"/>
        <v>135</v>
      </c>
      <c r="BK32" s="34">
        <f t="shared" si="8"/>
        <v>81</v>
      </c>
      <c r="BL32" s="38">
        <f t="shared" si="9"/>
        <v>60</v>
      </c>
      <c r="BN32" s="37">
        <f t="shared" si="10"/>
        <v>832</v>
      </c>
      <c r="BO32" s="34">
        <f t="shared" si="11"/>
        <v>554</v>
      </c>
      <c r="BP32" s="38">
        <f t="shared" si="12"/>
        <v>66.586538461538453</v>
      </c>
    </row>
    <row r="33" spans="1:68" s="9" customFormat="1" ht="21" customHeight="1" x14ac:dyDescent="0.25">
      <c r="A33" s="46" t="s">
        <v>33</v>
      </c>
      <c r="B33" s="56" t="s">
        <v>33</v>
      </c>
      <c r="C33" s="48" t="s">
        <v>15</v>
      </c>
      <c r="D33" s="49" t="s">
        <v>16</v>
      </c>
      <c r="E33" s="44">
        <f>_xlfn.XLOOKUP(B33,'Format-Blr'!$B$7:$B$44,'Format-Blr'!I$7:I$44)</f>
        <v>0</v>
      </c>
      <c r="F33" s="45">
        <f>_xlfn.XLOOKUP(B33,'Format-Blr'!$B$7:$B$44,'Format-Blr'!J$7:J$44)</f>
        <v>0</v>
      </c>
      <c r="G33" s="45">
        <f>_xlfn.XLOOKUP(B33,'Format-Blr'!$B$7:$B$44,'Format-Blr'!P$7:P$44)</f>
        <v>0</v>
      </c>
      <c r="H33" s="45">
        <f>_xlfn.XLOOKUP(B33,'Format-Blr'!$B$7:$B$44,'Format-Blr'!Q$7:Q$44)</f>
        <v>0</v>
      </c>
      <c r="I33" s="45">
        <f>_xlfn.XLOOKUP(B33,'Format-Blr'!$B$7:$B$44,'Format-Blr'!W$7:W$44)</f>
        <v>39</v>
      </c>
      <c r="J33" s="45">
        <f>_xlfn.XLOOKUP(B33,'Format-Blr'!$B$7:$B$44,'Format-Blr'!X$7:X$44)</f>
        <v>37</v>
      </c>
      <c r="K33" s="45">
        <f>_xlfn.XLOOKUP(B33,'Format-Blr'!$B$7:$B$44,'Format-Blr'!AD$7:AD$44)</f>
        <v>0</v>
      </c>
      <c r="L33" s="45">
        <f>_xlfn.XLOOKUP(B33,'Format-Blr'!$B$7:$B$44,'Format-Blr'!AE$7:AE$44)</f>
        <v>0</v>
      </c>
      <c r="M33" s="45">
        <f>_xlfn.XLOOKUP(B33,'Format-Blr'!$B$7:$B$44,'Format-Blr'!AK$7:AK$44)</f>
        <v>0</v>
      </c>
      <c r="N33" s="45">
        <f>_xlfn.XLOOKUP(B33,'Format-Blr'!$B$7:$B$44,'Format-Blr'!AL$7:AL$44)</f>
        <v>0</v>
      </c>
      <c r="O33" s="45">
        <f>_xlfn.XLOOKUP(B33,'Format-Blr'!$B$7:$B$44,'Format-Blr'!AR$7:AR$44)</f>
        <v>56</v>
      </c>
      <c r="P33" s="45">
        <f>_xlfn.XLOOKUP(B33,'Format-Blr'!$B$7:$B$44,'Format-Blr'!AS$7:AS$44)</f>
        <v>50</v>
      </c>
      <c r="Q33" s="45">
        <f>_xlfn.XLOOKUP(B33,'Format-Blr'!$B$7:$B$44,'Format-Blr'!AY$7:AY$44)</f>
        <v>51</v>
      </c>
      <c r="R33" s="45">
        <f>_xlfn.XLOOKUP(B33,'Format-Blr'!$B$7:$B$44,'Format-Blr'!AZ$7:AZ$44)</f>
        <v>42</v>
      </c>
      <c r="S33" s="45">
        <f>_xlfn.XLOOKUP(B33,'Format-Blr'!$B$7:$B$44,'Format-Blr'!BF$7:BF$44)</f>
        <v>0</v>
      </c>
      <c r="T33" s="45">
        <f>_xlfn.XLOOKUP(B33,'Format-Blr'!$B$7:$B$44,'Format-Blr'!BG$7:BG$44)</f>
        <v>0</v>
      </c>
      <c r="U33" s="45">
        <f>_xlfn.XLOOKUP(B33,'Format-Blr'!$B$7:$B$44,'Format-Blr'!BM$7:BM$44)</f>
        <v>59</v>
      </c>
      <c r="V33" s="45">
        <f>_xlfn.XLOOKUP(B33,'Format-Blr'!$B$7:$B$44,'Format-Blr'!BN$7:BN$44)</f>
        <v>51</v>
      </c>
      <c r="W33" s="45">
        <f>_xlfn.XLOOKUP(B33,'Format-Blr'!$B$7:$B$44,'Format-Blr'!BT$7:BT$44)</f>
        <v>62</v>
      </c>
      <c r="X33" s="45">
        <f>_xlfn.XLOOKUP(B33,'Format-Blr'!$B$7:$B$44,'Format-Blr'!BU$7:BU$44)</f>
        <v>59</v>
      </c>
      <c r="Y33" s="34">
        <f t="shared" si="1"/>
        <v>267</v>
      </c>
      <c r="Z33" s="34">
        <f t="shared" si="2"/>
        <v>239</v>
      </c>
      <c r="AA33" s="38">
        <f t="shared" si="3"/>
        <v>89.513108614232209</v>
      </c>
      <c r="AB33" s="44">
        <f>_xlfn.XLOOKUP(B33,'Format-Blr'!$B$51:$B$88,'Format-Blr'!I$51:I$88)</f>
        <v>0</v>
      </c>
      <c r="AC33" s="45">
        <f>_xlfn.XLOOKUP(B33,'Format-Blr'!$B$51:$B$88,'Format-Blr'!J$51:J$88)</f>
        <v>0</v>
      </c>
      <c r="AD33" s="45">
        <f>_xlfn.XLOOKUP(B33,'Format-Blr'!$B$51:$B$88,'Format-Blr'!P$51:P$88)</f>
        <v>0</v>
      </c>
      <c r="AE33" s="45">
        <f>_xlfn.XLOOKUP(B33,'Format-Blr'!$B$51:$B$88,'Format-Blr'!Q$51:Q$88)</f>
        <v>0</v>
      </c>
      <c r="AF33" s="45">
        <f>_xlfn.XLOOKUP(B33,'Format-Blr'!$B$51:$B$88,'Format-Blr'!W$51:W$88)</f>
        <v>0</v>
      </c>
      <c r="AG33" s="45">
        <f>_xlfn.XLOOKUP(B33,'Format-Blr'!$B$51:$B$88,'Format-Blr'!X$51:X$88)</f>
        <v>0</v>
      </c>
      <c r="AH33" s="45">
        <f>_xlfn.XLOOKUP(B33,'Format-Blr'!$B$51:$B$88,'Format-Blr'!AD$51:AD$88)</f>
        <v>0</v>
      </c>
      <c r="AI33" s="45">
        <f>_xlfn.XLOOKUP(B33,'Format-Blr'!$B$51:$B$88,'Format-Blr'!AE$51:AE$88)</f>
        <v>0</v>
      </c>
      <c r="AJ33" s="45">
        <f>_xlfn.XLOOKUP(B33,'Format-Blr'!$B$51:$B$88,'Format-Blr'!AK$51:AK$88)</f>
        <v>15</v>
      </c>
      <c r="AK33" s="45">
        <f>_xlfn.XLOOKUP(B33,'Format-Blr'!$B$51:$B$88,'Format-Blr'!AL$51:AL$88)</f>
        <v>3</v>
      </c>
      <c r="AL33" s="45">
        <f>_xlfn.XLOOKUP(B33,'Format-Blr'!$B$51:$B$88,'Format-Blr'!AR$51:AR$88)</f>
        <v>74</v>
      </c>
      <c r="AM33" s="45">
        <f>_xlfn.XLOOKUP(B33,'Format-Blr'!$B$51:$B$88,'Format-Blr'!AS$51:AS$88)</f>
        <v>3</v>
      </c>
      <c r="AN33" s="45">
        <f>_xlfn.XLOOKUP(B33,'Format-Blr'!$B$51:$B$88,'Format-Blr'!AY$51:AY$88)</f>
        <v>0</v>
      </c>
      <c r="AO33" s="45">
        <f>_xlfn.XLOOKUP(B33,'Format-Blr'!$B$51:$B$88,'Format-Blr'!AZ$51:AZ$88)</f>
        <v>0</v>
      </c>
      <c r="AP33" s="45">
        <f>_xlfn.XLOOKUP(B33,'Format-Blr'!$B$51:$B$88,'Format-Blr'!BF$51:BF$88)</f>
        <v>54</v>
      </c>
      <c r="AQ33" s="45">
        <f>_xlfn.XLOOKUP(B33,'Format-Blr'!$B$51:$B$88,'Format-Blr'!BG$51:BG$88)</f>
        <v>14</v>
      </c>
      <c r="AR33" s="45">
        <f>_xlfn.XLOOKUP(B33,'Format-Blr'!$B$51:$B$88,'Format-Blr'!BM$51:BM$88)</f>
        <v>116</v>
      </c>
      <c r="AS33" s="45">
        <f>_xlfn.XLOOKUP(B33,'Format-Blr'!$B$51:$B$88,'Format-Blr'!BN$51:BN$88)</f>
        <v>15</v>
      </c>
      <c r="AT33" s="45">
        <f>_xlfn.XLOOKUP(B33,'Format-Blr'!$B$51:$B$88,'Format-Blr'!BT$51:BT$88)</f>
        <v>0</v>
      </c>
      <c r="AU33" s="45">
        <f>_xlfn.XLOOKUP(B33,'Format-Blr'!$B$51:$B$88,'Format-Blr'!BU$51:BU$88)</f>
        <v>0</v>
      </c>
      <c r="AV33" s="34">
        <f t="shared" si="4"/>
        <v>259</v>
      </c>
      <c r="AW33" s="34">
        <f t="shared" si="5"/>
        <v>35</v>
      </c>
      <c r="AX33" s="38">
        <f t="shared" si="6"/>
        <v>13.513513513513514</v>
      </c>
      <c r="AY33" s="37">
        <f>_xlfn.XLOOKUP(B33,'Format-Blr'!B$51:B$88,'Format-Blr'!CF$51:CF$88)</f>
        <v>0</v>
      </c>
      <c r="AZ33" s="34">
        <f>_xlfn.XLOOKUP(B33,'Format-Blr'!B$51:B$88,'Format-Blr'!CG$51:CG$88)</f>
        <v>0</v>
      </c>
      <c r="BA33" s="35" t="e">
        <f t="shared" si="7"/>
        <v>#DIV/0!</v>
      </c>
      <c r="BB33" s="37">
        <f>_xlfn.XLOOKUP(B33,'Format-Blr'!$B$7:$B$44,'Format-Blr'!CF$7:CF$44)</f>
        <v>0</v>
      </c>
      <c r="BC33" s="34">
        <f>_xlfn.XLOOKUP(B33,'Format-Blr'!$B$7:$B$44,'Format-Blr'!CG$7:CG$44)</f>
        <v>0</v>
      </c>
      <c r="BD33" s="34">
        <f>_xlfn.XLOOKUP(B33,'Format-Blr'!$B$7:$B$44,'Format-Blr'!CI$7:CI$44)</f>
        <v>0</v>
      </c>
      <c r="BE33" s="34">
        <f>_xlfn.XLOOKUP(B33,'Format-Blr'!$B$7:$B$44,'Format-Blr'!CJ$7:CJ$44)</f>
        <v>0</v>
      </c>
      <c r="BF33" s="34">
        <f>_xlfn.XLOOKUP(B33,'Format-Blr'!$B$7:$B$44,'Format-Blr'!CL$7:CL$44)</f>
        <v>0</v>
      </c>
      <c r="BG33" s="34">
        <f>_xlfn.XLOOKUP(B33,'Format-Blr'!$B$7:$B$44,'Format-Blr'!CM$7:CM$44)</f>
        <v>0</v>
      </c>
      <c r="BH33" s="34">
        <f>_xlfn.XLOOKUP(B33,'Format-Blr'!$B$7:$B$44,'Format-Blr'!CO$7:CO$44)</f>
        <v>0</v>
      </c>
      <c r="BI33" s="52">
        <f>_xlfn.XLOOKUP(B33,'Format-Blr'!$B$7:$B$44,'Format-Blr'!CP$7:CP$44)</f>
        <v>0</v>
      </c>
      <c r="BJ33" s="37">
        <f t="shared" si="13"/>
        <v>0</v>
      </c>
      <c r="BK33" s="34">
        <f t="shared" si="8"/>
        <v>0</v>
      </c>
      <c r="BL33" s="38" t="e">
        <f t="shared" si="9"/>
        <v>#DIV/0!</v>
      </c>
      <c r="BN33" s="37">
        <f t="shared" si="10"/>
        <v>526</v>
      </c>
      <c r="BO33" s="34">
        <f t="shared" si="11"/>
        <v>274</v>
      </c>
      <c r="BP33" s="38">
        <f t="shared" si="12"/>
        <v>52.091254752851711</v>
      </c>
    </row>
    <row r="34" spans="1:68" s="9" customFormat="1" ht="21" customHeight="1" x14ac:dyDescent="0.25">
      <c r="A34" s="46" t="s">
        <v>55</v>
      </c>
      <c r="B34" s="55" t="s">
        <v>55</v>
      </c>
      <c r="C34" s="48" t="s">
        <v>15</v>
      </c>
      <c r="D34" s="49" t="s">
        <v>16</v>
      </c>
      <c r="E34" s="44">
        <f>_xlfn.XLOOKUP(B34,'Format-Blr'!$B$7:$B$44,'Format-Blr'!I$7:I$44)</f>
        <v>0</v>
      </c>
      <c r="F34" s="45">
        <f>_xlfn.XLOOKUP(B34,'Format-Blr'!$B$7:$B$44,'Format-Blr'!J$7:J$44)</f>
        <v>0</v>
      </c>
      <c r="G34" s="45">
        <f>_xlfn.XLOOKUP(B34,'Format-Blr'!$B$7:$B$44,'Format-Blr'!P$7:P$44)</f>
        <v>0</v>
      </c>
      <c r="H34" s="45">
        <f>_xlfn.XLOOKUP(B34,'Format-Blr'!$B$7:$B$44,'Format-Blr'!Q$7:Q$44)</f>
        <v>0</v>
      </c>
      <c r="I34" s="45">
        <f>_xlfn.XLOOKUP(B34,'Format-Blr'!$B$7:$B$44,'Format-Blr'!W$7:W$44)</f>
        <v>14</v>
      </c>
      <c r="J34" s="45">
        <f>_xlfn.XLOOKUP(B34,'Format-Blr'!$B$7:$B$44,'Format-Blr'!X$7:X$44)</f>
        <v>14</v>
      </c>
      <c r="K34" s="45">
        <f>_xlfn.XLOOKUP(B34,'Format-Blr'!$B$7:$B$44,'Format-Blr'!AD$7:AD$44)</f>
        <v>0</v>
      </c>
      <c r="L34" s="45">
        <f>_xlfn.XLOOKUP(B34,'Format-Blr'!$B$7:$B$44,'Format-Blr'!AE$7:AE$44)</f>
        <v>0</v>
      </c>
      <c r="M34" s="45">
        <f>_xlfn.XLOOKUP(B34,'Format-Blr'!$B$7:$B$44,'Format-Blr'!AK$7:AK$44)</f>
        <v>0</v>
      </c>
      <c r="N34" s="45">
        <f>_xlfn.XLOOKUP(B34,'Format-Blr'!$B$7:$B$44,'Format-Blr'!AL$7:AL$44)</f>
        <v>0</v>
      </c>
      <c r="O34" s="45">
        <f>_xlfn.XLOOKUP(B34,'Format-Blr'!$B$7:$B$44,'Format-Blr'!AR$7:AR$44)</f>
        <v>61</v>
      </c>
      <c r="P34" s="45">
        <f>_xlfn.XLOOKUP(B34,'Format-Blr'!$B$7:$B$44,'Format-Blr'!AS$7:AS$44)</f>
        <v>44</v>
      </c>
      <c r="Q34" s="45">
        <f>_xlfn.XLOOKUP(B34,'Format-Blr'!$B$7:$B$44,'Format-Blr'!AY$7:AY$44)</f>
        <v>0</v>
      </c>
      <c r="R34" s="45">
        <f>_xlfn.XLOOKUP(B34,'Format-Blr'!$B$7:$B$44,'Format-Blr'!AZ$7:AZ$44)</f>
        <v>0</v>
      </c>
      <c r="S34" s="45">
        <f>_xlfn.XLOOKUP(B34,'Format-Blr'!$B$7:$B$44,'Format-Blr'!BF$7:BF$44)</f>
        <v>35</v>
      </c>
      <c r="T34" s="45">
        <f>_xlfn.XLOOKUP(B34,'Format-Blr'!$B$7:$B$44,'Format-Blr'!BG$7:BG$44)</f>
        <v>33</v>
      </c>
      <c r="U34" s="45">
        <f>_xlfn.XLOOKUP(B34,'Format-Blr'!$B$7:$B$44,'Format-Blr'!BM$7:BM$44)</f>
        <v>60</v>
      </c>
      <c r="V34" s="45">
        <f>_xlfn.XLOOKUP(B34,'Format-Blr'!$B$7:$B$44,'Format-Blr'!BN$7:BN$44)</f>
        <v>43</v>
      </c>
      <c r="W34" s="45">
        <f>_xlfn.XLOOKUP(B34,'Format-Blr'!$B$7:$B$44,'Format-Blr'!BT$7:BT$44)</f>
        <v>0</v>
      </c>
      <c r="X34" s="45">
        <f>_xlfn.XLOOKUP(B34,'Format-Blr'!$B$7:$B$44,'Format-Blr'!BU$7:BU$44)</f>
        <v>0</v>
      </c>
      <c r="Y34" s="34">
        <f t="shared" si="1"/>
        <v>170</v>
      </c>
      <c r="Z34" s="34">
        <f t="shared" si="2"/>
        <v>134</v>
      </c>
      <c r="AA34" s="38">
        <f t="shared" si="3"/>
        <v>78.82352941176471</v>
      </c>
      <c r="AB34" s="44">
        <f>_xlfn.XLOOKUP(B34,'Format-Blr'!$B$51:$B$88,'Format-Blr'!I$51:I$88)</f>
        <v>0</v>
      </c>
      <c r="AC34" s="45">
        <f>_xlfn.XLOOKUP(B34,'Format-Blr'!$B$51:$B$88,'Format-Blr'!J$51:J$88)</f>
        <v>0</v>
      </c>
      <c r="AD34" s="45">
        <f>_xlfn.XLOOKUP(B34,'Format-Blr'!$B$51:$B$88,'Format-Blr'!P$51:P$88)</f>
        <v>0</v>
      </c>
      <c r="AE34" s="45">
        <f>_xlfn.XLOOKUP(B34,'Format-Blr'!$B$51:$B$88,'Format-Blr'!Q$51:Q$88)</f>
        <v>0</v>
      </c>
      <c r="AF34" s="45">
        <f>_xlfn.XLOOKUP(B34,'Format-Blr'!$B$51:$B$88,'Format-Blr'!W$51:W$88)</f>
        <v>0</v>
      </c>
      <c r="AG34" s="45">
        <f>_xlfn.XLOOKUP(B34,'Format-Blr'!$B$51:$B$88,'Format-Blr'!X$51:X$88)</f>
        <v>0</v>
      </c>
      <c r="AH34" s="45">
        <f>_xlfn.XLOOKUP(B34,'Format-Blr'!$B$51:$B$88,'Format-Blr'!AD$51:AD$88)</f>
        <v>0</v>
      </c>
      <c r="AI34" s="45">
        <f>_xlfn.XLOOKUP(B34,'Format-Blr'!$B$51:$B$88,'Format-Blr'!AE$51:AE$88)</f>
        <v>0</v>
      </c>
      <c r="AJ34" s="45">
        <f>_xlfn.XLOOKUP(B34,'Format-Blr'!$B$51:$B$88,'Format-Blr'!AK$51:AK$88)</f>
        <v>18</v>
      </c>
      <c r="AK34" s="45">
        <f>_xlfn.XLOOKUP(B34,'Format-Blr'!$B$51:$B$88,'Format-Blr'!AL$51:AL$88)</f>
        <v>10</v>
      </c>
      <c r="AL34" s="45">
        <f>_xlfn.XLOOKUP(B34,'Format-Blr'!$B$51:$B$88,'Format-Blr'!AR$51:AR$88)</f>
        <v>55</v>
      </c>
      <c r="AM34" s="45">
        <f>_xlfn.XLOOKUP(B34,'Format-Blr'!$B$51:$B$88,'Format-Blr'!AS$51:AS$88)</f>
        <v>10</v>
      </c>
      <c r="AN34" s="45">
        <f>_xlfn.XLOOKUP(B34,'Format-Blr'!$B$51:$B$88,'Format-Blr'!AY$51:AY$88)</f>
        <v>0</v>
      </c>
      <c r="AO34" s="45">
        <f>_xlfn.XLOOKUP(B34,'Format-Blr'!$B$51:$B$88,'Format-Blr'!AZ$51:AZ$88)</f>
        <v>0</v>
      </c>
      <c r="AP34" s="45">
        <f>_xlfn.XLOOKUP(B34,'Format-Blr'!$B$51:$B$88,'Format-Blr'!BF$51:BF$88)</f>
        <v>29</v>
      </c>
      <c r="AQ34" s="45">
        <f>_xlfn.XLOOKUP(B34,'Format-Blr'!$B$51:$B$88,'Format-Blr'!BG$51:BG$88)</f>
        <v>3</v>
      </c>
      <c r="AR34" s="45">
        <f>_xlfn.XLOOKUP(B34,'Format-Blr'!$B$51:$B$88,'Format-Blr'!BM$51:BM$88)</f>
        <v>49</v>
      </c>
      <c r="AS34" s="45">
        <f>_xlfn.XLOOKUP(B34,'Format-Blr'!$B$51:$B$88,'Format-Blr'!BN$51:BN$88)</f>
        <v>11</v>
      </c>
      <c r="AT34" s="45">
        <f>_xlfn.XLOOKUP(B34,'Format-Blr'!$B$51:$B$88,'Format-Blr'!BT$51:BT$88)</f>
        <v>0</v>
      </c>
      <c r="AU34" s="45">
        <f>_xlfn.XLOOKUP(B34,'Format-Blr'!$B$51:$B$88,'Format-Blr'!BU$51:BU$88)</f>
        <v>0</v>
      </c>
      <c r="AV34" s="34">
        <f t="shared" si="4"/>
        <v>151</v>
      </c>
      <c r="AW34" s="34">
        <f t="shared" si="5"/>
        <v>34</v>
      </c>
      <c r="AX34" s="38">
        <f t="shared" si="6"/>
        <v>22.516556291390728</v>
      </c>
      <c r="AY34" s="37">
        <f>_xlfn.XLOOKUP(B34,'Format-Blr'!B$51:B$88,'Format-Blr'!CF$51:CF$88)</f>
        <v>0</v>
      </c>
      <c r="AZ34" s="34">
        <f>_xlfn.XLOOKUP(B34,'Format-Blr'!B$51:B$88,'Format-Blr'!CG$51:CG$88)</f>
        <v>0</v>
      </c>
      <c r="BA34" s="35" t="e">
        <f t="shared" si="7"/>
        <v>#DIV/0!</v>
      </c>
      <c r="BB34" s="37">
        <f>_xlfn.XLOOKUP(B34,'Format-Blr'!$B$7:$B$44,'Format-Blr'!CF$7:CF$44)</f>
        <v>0</v>
      </c>
      <c r="BC34" s="34">
        <f>_xlfn.XLOOKUP(B34,'Format-Blr'!$B$7:$B$44,'Format-Blr'!CG$7:CG$44)</f>
        <v>0</v>
      </c>
      <c r="BD34" s="34">
        <f>_xlfn.XLOOKUP(B34,'Format-Blr'!$B$7:$B$44,'Format-Blr'!CI$7:CI$44)</f>
        <v>0</v>
      </c>
      <c r="BE34" s="34">
        <f>_xlfn.XLOOKUP(B34,'Format-Blr'!$B$7:$B$44,'Format-Blr'!CJ$7:CJ$44)</f>
        <v>0</v>
      </c>
      <c r="BF34" s="34">
        <f>_xlfn.XLOOKUP(B34,'Format-Blr'!$B$7:$B$44,'Format-Blr'!CL$7:CL$44)</f>
        <v>0</v>
      </c>
      <c r="BG34" s="34">
        <f>_xlfn.XLOOKUP(B34,'Format-Blr'!$B$7:$B$44,'Format-Blr'!CM$7:CM$44)</f>
        <v>0</v>
      </c>
      <c r="BH34" s="34">
        <f>_xlfn.XLOOKUP(B34,'Format-Blr'!$B$7:$B$44,'Format-Blr'!CO$7:CO$44)</f>
        <v>0</v>
      </c>
      <c r="BI34" s="52">
        <f>_xlfn.XLOOKUP(B34,'Format-Blr'!$B$7:$B$44,'Format-Blr'!CP$7:CP$44)</f>
        <v>0</v>
      </c>
      <c r="BJ34" s="37">
        <f t="shared" si="13"/>
        <v>0</v>
      </c>
      <c r="BK34" s="34">
        <f t="shared" si="8"/>
        <v>0</v>
      </c>
      <c r="BL34" s="38" t="e">
        <f t="shared" si="9"/>
        <v>#DIV/0!</v>
      </c>
      <c r="BN34" s="37">
        <f t="shared" si="10"/>
        <v>321</v>
      </c>
      <c r="BO34" s="34">
        <f t="shared" si="11"/>
        <v>168</v>
      </c>
      <c r="BP34" s="38">
        <f t="shared" si="12"/>
        <v>52.336448598130836</v>
      </c>
    </row>
    <row r="35" spans="1:68" s="9" customFormat="1" ht="21" customHeight="1" x14ac:dyDescent="0.25">
      <c r="A35" s="46" t="s">
        <v>55</v>
      </c>
      <c r="B35" s="55" t="s">
        <v>74</v>
      </c>
      <c r="C35" s="48" t="s">
        <v>15</v>
      </c>
      <c r="D35" s="49" t="s">
        <v>16</v>
      </c>
      <c r="E35" s="44">
        <f>_xlfn.XLOOKUP(B35,'Format-Blr'!$B$7:$B$44,'Format-Blr'!I$7:I$44)</f>
        <v>0</v>
      </c>
      <c r="F35" s="45">
        <f>_xlfn.XLOOKUP(B35,'Format-Blr'!$B$7:$B$44,'Format-Blr'!J$7:J$44)</f>
        <v>0</v>
      </c>
      <c r="G35" s="45">
        <f>_xlfn.XLOOKUP(B35,'Format-Blr'!$B$7:$B$44,'Format-Blr'!P$7:P$44)</f>
        <v>0</v>
      </c>
      <c r="H35" s="45">
        <f>_xlfn.XLOOKUP(B35,'Format-Blr'!$B$7:$B$44,'Format-Blr'!Q$7:Q$44)</f>
        <v>0</v>
      </c>
      <c r="I35" s="45">
        <f>_xlfn.XLOOKUP(B35,'Format-Blr'!$B$7:$B$44,'Format-Blr'!W$7:W$44)</f>
        <v>0</v>
      </c>
      <c r="J35" s="45">
        <f>_xlfn.XLOOKUP(B35,'Format-Blr'!$B$7:$B$44,'Format-Blr'!X$7:X$44)</f>
        <v>0</v>
      </c>
      <c r="K35" s="45">
        <f>_xlfn.XLOOKUP(B35,'Format-Blr'!$B$7:$B$44,'Format-Blr'!AD$7:AD$44)</f>
        <v>0</v>
      </c>
      <c r="L35" s="45">
        <f>_xlfn.XLOOKUP(B35,'Format-Blr'!$B$7:$B$44,'Format-Blr'!AE$7:AE$44)</f>
        <v>0</v>
      </c>
      <c r="M35" s="45">
        <f>_xlfn.XLOOKUP(B35,'Format-Blr'!$B$7:$B$44,'Format-Blr'!AK$7:AK$44)</f>
        <v>28</v>
      </c>
      <c r="N35" s="45">
        <f>_xlfn.XLOOKUP(B35,'Format-Blr'!$B$7:$B$44,'Format-Blr'!AL$7:AL$44)</f>
        <v>26</v>
      </c>
      <c r="O35" s="45">
        <f>_xlfn.XLOOKUP(B35,'Format-Blr'!$B$7:$B$44,'Format-Blr'!AR$7:AR$44)</f>
        <v>53</v>
      </c>
      <c r="P35" s="45">
        <f>_xlfn.XLOOKUP(B35,'Format-Blr'!$B$7:$B$44,'Format-Blr'!AS$7:AS$44)</f>
        <v>40</v>
      </c>
      <c r="Q35" s="45">
        <f>_xlfn.XLOOKUP(B35,'Format-Blr'!$B$7:$B$44,'Format-Blr'!AY$7:AY$44)</f>
        <v>0</v>
      </c>
      <c r="R35" s="45">
        <f>_xlfn.XLOOKUP(B35,'Format-Blr'!$B$7:$B$44,'Format-Blr'!AZ$7:AZ$44)</f>
        <v>0</v>
      </c>
      <c r="S35" s="45">
        <f>_xlfn.XLOOKUP(B35,'Format-Blr'!$B$7:$B$44,'Format-Blr'!BF$7:BF$44)</f>
        <v>56</v>
      </c>
      <c r="T35" s="45">
        <f>_xlfn.XLOOKUP(B35,'Format-Blr'!$B$7:$B$44,'Format-Blr'!BG$7:BG$44)</f>
        <v>52</v>
      </c>
      <c r="U35" s="45">
        <f>_xlfn.XLOOKUP(B35,'Format-Blr'!$B$7:$B$44,'Format-Blr'!BM$7:BM$44)</f>
        <v>0</v>
      </c>
      <c r="V35" s="45">
        <f>_xlfn.XLOOKUP(B35,'Format-Blr'!$B$7:$B$44,'Format-Blr'!BN$7:BN$44)</f>
        <v>0</v>
      </c>
      <c r="W35" s="45">
        <f>_xlfn.XLOOKUP(B35,'Format-Blr'!$B$7:$B$44,'Format-Blr'!BT$7:BT$44)</f>
        <v>0</v>
      </c>
      <c r="X35" s="45">
        <f>_xlfn.XLOOKUP(B35,'Format-Blr'!$B$7:$B$44,'Format-Blr'!BU$7:BU$44)</f>
        <v>0</v>
      </c>
      <c r="Y35" s="34">
        <f t="shared" si="1"/>
        <v>137</v>
      </c>
      <c r="Z35" s="34">
        <f t="shared" si="2"/>
        <v>118</v>
      </c>
      <c r="AA35" s="38">
        <f t="shared" si="3"/>
        <v>86.131386861313857</v>
      </c>
      <c r="AB35" s="44">
        <f>_xlfn.XLOOKUP(B35,'Format-Blr'!$B$51:$B$88,'Format-Blr'!I$51:I$88)</f>
        <v>0</v>
      </c>
      <c r="AC35" s="45">
        <f>_xlfn.XLOOKUP(B35,'Format-Blr'!$B$51:$B$88,'Format-Blr'!J$51:J$88)</f>
        <v>0</v>
      </c>
      <c r="AD35" s="45">
        <f>_xlfn.XLOOKUP(B35,'Format-Blr'!$B$51:$B$88,'Format-Blr'!P$51:P$88)</f>
        <v>0</v>
      </c>
      <c r="AE35" s="45">
        <f>_xlfn.XLOOKUP(B35,'Format-Blr'!$B$51:$B$88,'Format-Blr'!Q$51:Q$88)</f>
        <v>0</v>
      </c>
      <c r="AF35" s="45">
        <f>_xlfn.XLOOKUP(B35,'Format-Blr'!$B$51:$B$88,'Format-Blr'!W$51:W$88)</f>
        <v>0</v>
      </c>
      <c r="AG35" s="45">
        <f>_xlfn.XLOOKUP(B35,'Format-Blr'!$B$51:$B$88,'Format-Blr'!X$51:X$88)</f>
        <v>0</v>
      </c>
      <c r="AH35" s="45">
        <f>_xlfn.XLOOKUP(B35,'Format-Blr'!$B$51:$B$88,'Format-Blr'!AD$51:AD$88)</f>
        <v>0</v>
      </c>
      <c r="AI35" s="45">
        <f>_xlfn.XLOOKUP(B35,'Format-Blr'!$B$51:$B$88,'Format-Blr'!AE$51:AE$88)</f>
        <v>0</v>
      </c>
      <c r="AJ35" s="45">
        <f>_xlfn.XLOOKUP(B35,'Format-Blr'!$B$51:$B$88,'Format-Blr'!AK$51:AK$88)</f>
        <v>0</v>
      </c>
      <c r="AK35" s="45">
        <f>_xlfn.XLOOKUP(B35,'Format-Blr'!$B$51:$B$88,'Format-Blr'!AL$51:AL$88)</f>
        <v>0</v>
      </c>
      <c r="AL35" s="45">
        <f>_xlfn.XLOOKUP(B35,'Format-Blr'!$B$51:$B$88,'Format-Blr'!AR$51:AR$88)</f>
        <v>0</v>
      </c>
      <c r="AM35" s="45">
        <f>_xlfn.XLOOKUP(B35,'Format-Blr'!$B$51:$B$88,'Format-Blr'!AS$51:AS$88)</f>
        <v>0</v>
      </c>
      <c r="AN35" s="45">
        <f>_xlfn.XLOOKUP(B35,'Format-Blr'!$B$51:$B$88,'Format-Blr'!AY$51:AY$88)</f>
        <v>0</v>
      </c>
      <c r="AO35" s="45">
        <f>_xlfn.XLOOKUP(B35,'Format-Blr'!$B$51:$B$88,'Format-Blr'!AZ$51:AZ$88)</f>
        <v>0</v>
      </c>
      <c r="AP35" s="45">
        <f>_xlfn.XLOOKUP(B35,'Format-Blr'!$B$51:$B$88,'Format-Blr'!BF$51:BF$88)</f>
        <v>0</v>
      </c>
      <c r="AQ35" s="45">
        <f>_xlfn.XLOOKUP(B35,'Format-Blr'!$B$51:$B$88,'Format-Blr'!BG$51:BG$88)</f>
        <v>0</v>
      </c>
      <c r="AR35" s="45">
        <f>_xlfn.XLOOKUP(B35,'Format-Blr'!$B$51:$B$88,'Format-Blr'!BM$51:BM$88)</f>
        <v>0</v>
      </c>
      <c r="AS35" s="45">
        <f>_xlfn.XLOOKUP(B35,'Format-Blr'!$B$51:$B$88,'Format-Blr'!BN$51:BN$88)</f>
        <v>0</v>
      </c>
      <c r="AT35" s="45">
        <f>_xlfn.XLOOKUP(B35,'Format-Blr'!$B$51:$B$88,'Format-Blr'!BT$51:BT$88)</f>
        <v>0</v>
      </c>
      <c r="AU35" s="45">
        <f>_xlfn.XLOOKUP(B35,'Format-Blr'!$B$51:$B$88,'Format-Blr'!BU$51:BU$88)</f>
        <v>0</v>
      </c>
      <c r="AV35" s="34">
        <f t="shared" si="4"/>
        <v>0</v>
      </c>
      <c r="AW35" s="34">
        <f t="shared" si="5"/>
        <v>0</v>
      </c>
      <c r="AX35" s="38" t="e">
        <f t="shared" si="6"/>
        <v>#DIV/0!</v>
      </c>
      <c r="AY35" s="37">
        <f>_xlfn.XLOOKUP(B35,'Format-Blr'!B$51:B$88,'Format-Blr'!CF$51:CF$88)</f>
        <v>0</v>
      </c>
      <c r="AZ35" s="34">
        <f>_xlfn.XLOOKUP(B35,'Format-Blr'!B$51:B$88,'Format-Blr'!CG$51:CG$88)</f>
        <v>0</v>
      </c>
      <c r="BA35" s="35" t="e">
        <f t="shared" si="7"/>
        <v>#DIV/0!</v>
      </c>
      <c r="BB35" s="37">
        <f>_xlfn.XLOOKUP(B35,'Format-Blr'!$B$7:$B$44,'Format-Blr'!CF$7:CF$44)</f>
        <v>0</v>
      </c>
      <c r="BC35" s="34">
        <f>_xlfn.XLOOKUP(B35,'Format-Blr'!$B$7:$B$44,'Format-Blr'!CG$7:CG$44)</f>
        <v>0</v>
      </c>
      <c r="BD35" s="34">
        <f>_xlfn.XLOOKUP(B35,'Format-Blr'!$B$7:$B$44,'Format-Blr'!CI$7:CI$44)</f>
        <v>0</v>
      </c>
      <c r="BE35" s="34">
        <f>_xlfn.XLOOKUP(B35,'Format-Blr'!$B$7:$B$44,'Format-Blr'!CJ$7:CJ$44)</f>
        <v>0</v>
      </c>
      <c r="BF35" s="34">
        <f>_xlfn.XLOOKUP(B35,'Format-Blr'!$B$7:$B$44,'Format-Blr'!CL$7:CL$44)</f>
        <v>0</v>
      </c>
      <c r="BG35" s="34">
        <f>_xlfn.XLOOKUP(B35,'Format-Blr'!$B$7:$B$44,'Format-Blr'!CM$7:CM$44)</f>
        <v>0</v>
      </c>
      <c r="BH35" s="34">
        <f>_xlfn.XLOOKUP(B35,'Format-Blr'!$B$7:$B$44,'Format-Blr'!CO$7:CO$44)</f>
        <v>0</v>
      </c>
      <c r="BI35" s="52">
        <f>_xlfn.XLOOKUP(B35,'Format-Blr'!$B$7:$B$44,'Format-Blr'!CP$7:CP$44)</f>
        <v>0</v>
      </c>
      <c r="BJ35" s="37">
        <f t="shared" si="13"/>
        <v>0</v>
      </c>
      <c r="BK35" s="34">
        <f t="shared" si="8"/>
        <v>0</v>
      </c>
      <c r="BL35" s="38" t="e">
        <f t="shared" si="9"/>
        <v>#DIV/0!</v>
      </c>
      <c r="BN35" s="37">
        <f t="shared" si="10"/>
        <v>137</v>
      </c>
      <c r="BO35" s="34">
        <f t="shared" si="11"/>
        <v>118</v>
      </c>
      <c r="BP35" s="38">
        <f t="shared" si="12"/>
        <v>86.131386861313857</v>
      </c>
    </row>
    <row r="36" spans="1:68" s="9" customFormat="1" ht="21" customHeight="1" x14ac:dyDescent="0.25">
      <c r="A36" s="46" t="s">
        <v>32</v>
      </c>
      <c r="B36" s="55" t="s">
        <v>69</v>
      </c>
      <c r="C36" s="48" t="s">
        <v>15</v>
      </c>
      <c r="D36" s="49" t="s">
        <v>16</v>
      </c>
      <c r="E36" s="44">
        <f>_xlfn.XLOOKUP(B36,'Format-Blr'!$B$7:$B$44,'Format-Blr'!I$7:I$44)</f>
        <v>0</v>
      </c>
      <c r="F36" s="45">
        <f>_xlfn.XLOOKUP(B36,'Format-Blr'!$B$7:$B$44,'Format-Blr'!J$7:J$44)</f>
        <v>0</v>
      </c>
      <c r="G36" s="45">
        <f>_xlfn.XLOOKUP(B36,'Format-Blr'!$B$7:$B$44,'Format-Blr'!P$7:P$44)</f>
        <v>0</v>
      </c>
      <c r="H36" s="45">
        <f>_xlfn.XLOOKUP(B36,'Format-Blr'!$B$7:$B$44,'Format-Blr'!Q$7:Q$44)</f>
        <v>0</v>
      </c>
      <c r="I36" s="45">
        <f>_xlfn.XLOOKUP(B36,'Format-Blr'!$B$7:$B$44,'Format-Blr'!W$7:W$44)</f>
        <v>45</v>
      </c>
      <c r="J36" s="45">
        <f>_xlfn.XLOOKUP(B36,'Format-Blr'!$B$7:$B$44,'Format-Blr'!X$7:X$44)</f>
        <v>43</v>
      </c>
      <c r="K36" s="45">
        <f>_xlfn.XLOOKUP(B36,'Format-Blr'!$B$7:$B$44,'Format-Blr'!AD$7:AD$44)</f>
        <v>0</v>
      </c>
      <c r="L36" s="45">
        <f>_xlfn.XLOOKUP(B36,'Format-Blr'!$B$7:$B$44,'Format-Blr'!AE$7:AE$44)</f>
        <v>0</v>
      </c>
      <c r="M36" s="45">
        <f>_xlfn.XLOOKUP(B36,'Format-Blr'!$B$7:$B$44,'Format-Blr'!AK$7:AK$44)</f>
        <v>0</v>
      </c>
      <c r="N36" s="45">
        <f>_xlfn.XLOOKUP(B36,'Format-Blr'!$B$7:$B$44,'Format-Blr'!AL$7:AL$44)</f>
        <v>0</v>
      </c>
      <c r="O36" s="45">
        <f>_xlfn.XLOOKUP(B36,'Format-Blr'!$B$7:$B$44,'Format-Blr'!AR$7:AR$44)</f>
        <v>63</v>
      </c>
      <c r="P36" s="45">
        <f>_xlfn.XLOOKUP(B36,'Format-Blr'!$B$7:$B$44,'Format-Blr'!AS$7:AS$44)</f>
        <v>61</v>
      </c>
      <c r="Q36" s="45">
        <f>_xlfn.XLOOKUP(B36,'Format-Blr'!$B$7:$B$44,'Format-Blr'!AY$7:AY$44)</f>
        <v>0</v>
      </c>
      <c r="R36" s="45">
        <f>_xlfn.XLOOKUP(B36,'Format-Blr'!$B$7:$B$44,'Format-Blr'!AZ$7:AZ$44)</f>
        <v>0</v>
      </c>
      <c r="S36" s="45">
        <f>_xlfn.XLOOKUP(B36,'Format-Blr'!$B$7:$B$44,'Format-Blr'!BF$7:BF$44)</f>
        <v>41</v>
      </c>
      <c r="T36" s="45">
        <f>_xlfn.XLOOKUP(B36,'Format-Blr'!$B$7:$B$44,'Format-Blr'!BG$7:BG$44)</f>
        <v>39</v>
      </c>
      <c r="U36" s="45">
        <f>_xlfn.XLOOKUP(B36,'Format-Blr'!$B$7:$B$44,'Format-Blr'!BM$7:BM$44)</f>
        <v>41</v>
      </c>
      <c r="V36" s="45">
        <f>_xlfn.XLOOKUP(B36,'Format-Blr'!$B$7:$B$44,'Format-Blr'!BN$7:BN$44)</f>
        <v>33</v>
      </c>
      <c r="W36" s="45">
        <f>_xlfn.XLOOKUP(B36,'Format-Blr'!$B$7:$B$44,'Format-Blr'!BT$7:BT$44)</f>
        <v>27</v>
      </c>
      <c r="X36" s="45">
        <f>_xlfn.XLOOKUP(B36,'Format-Blr'!$B$7:$B$44,'Format-Blr'!BU$7:BU$44)</f>
        <v>25</v>
      </c>
      <c r="Y36" s="34">
        <f t="shared" si="1"/>
        <v>217</v>
      </c>
      <c r="Z36" s="34">
        <f t="shared" si="2"/>
        <v>201</v>
      </c>
      <c r="AA36" s="38">
        <f t="shared" si="3"/>
        <v>92.626728110599075</v>
      </c>
      <c r="AB36" s="44">
        <f>_xlfn.XLOOKUP(B36,'Format-Blr'!$B$51:$B$88,'Format-Blr'!I$51:I$88)</f>
        <v>0</v>
      </c>
      <c r="AC36" s="45">
        <f>_xlfn.XLOOKUP(B36,'Format-Blr'!$B$51:$B$88,'Format-Blr'!J$51:J$88)</f>
        <v>0</v>
      </c>
      <c r="AD36" s="45">
        <f>_xlfn.XLOOKUP(B36,'Format-Blr'!$B$51:$B$88,'Format-Blr'!P$51:P$88)</f>
        <v>0</v>
      </c>
      <c r="AE36" s="45">
        <f>_xlfn.XLOOKUP(B36,'Format-Blr'!$B$51:$B$88,'Format-Blr'!Q$51:Q$88)</f>
        <v>0</v>
      </c>
      <c r="AF36" s="45">
        <f>_xlfn.XLOOKUP(B36,'Format-Blr'!$B$51:$B$88,'Format-Blr'!W$51:W$88)</f>
        <v>48</v>
      </c>
      <c r="AG36" s="45">
        <f>_xlfn.XLOOKUP(B36,'Format-Blr'!$B$51:$B$88,'Format-Blr'!X$51:X$88)</f>
        <v>0</v>
      </c>
      <c r="AH36" s="45">
        <f>_xlfn.XLOOKUP(B36,'Format-Blr'!$B$51:$B$88,'Format-Blr'!AD$51:AD$88)</f>
        <v>0</v>
      </c>
      <c r="AI36" s="45">
        <f>_xlfn.XLOOKUP(B36,'Format-Blr'!$B$51:$B$88,'Format-Blr'!AE$51:AE$88)</f>
        <v>0</v>
      </c>
      <c r="AJ36" s="45">
        <f>_xlfn.XLOOKUP(B36,'Format-Blr'!$B$51:$B$88,'Format-Blr'!AK$51:AK$88)</f>
        <v>0</v>
      </c>
      <c r="AK36" s="45">
        <f>_xlfn.XLOOKUP(B36,'Format-Blr'!$B$51:$B$88,'Format-Blr'!AL$51:AL$88)</f>
        <v>0</v>
      </c>
      <c r="AL36" s="45">
        <f>_xlfn.XLOOKUP(B36,'Format-Blr'!$B$51:$B$88,'Format-Blr'!AR$51:AR$88)</f>
        <v>54</v>
      </c>
      <c r="AM36" s="45">
        <f>_xlfn.XLOOKUP(B36,'Format-Blr'!$B$51:$B$88,'Format-Blr'!AS$51:AS$88)</f>
        <v>0</v>
      </c>
      <c r="AN36" s="45">
        <f>_xlfn.XLOOKUP(B36,'Format-Blr'!$B$51:$B$88,'Format-Blr'!AY$51:AY$88)</f>
        <v>0</v>
      </c>
      <c r="AO36" s="45">
        <f>_xlfn.XLOOKUP(B36,'Format-Blr'!$B$51:$B$88,'Format-Blr'!AZ$51:AZ$88)</f>
        <v>0</v>
      </c>
      <c r="AP36" s="45">
        <f>_xlfn.XLOOKUP(B36,'Format-Blr'!$B$51:$B$88,'Format-Blr'!BF$51:BF$88)</f>
        <v>0</v>
      </c>
      <c r="AQ36" s="45">
        <f>_xlfn.XLOOKUP(B36,'Format-Blr'!$B$51:$B$88,'Format-Blr'!BG$51:BG$88)</f>
        <v>0</v>
      </c>
      <c r="AR36" s="45">
        <f>_xlfn.XLOOKUP(B36,'Format-Blr'!$B$51:$B$88,'Format-Blr'!BM$51:BM$88)</f>
        <v>39</v>
      </c>
      <c r="AS36" s="45">
        <f>_xlfn.XLOOKUP(B36,'Format-Blr'!$B$51:$B$88,'Format-Blr'!BN$51:BN$88)</f>
        <v>1</v>
      </c>
      <c r="AT36" s="45">
        <f>_xlfn.XLOOKUP(B36,'Format-Blr'!$B$51:$B$88,'Format-Blr'!BT$51:BT$88)</f>
        <v>54</v>
      </c>
      <c r="AU36" s="45">
        <f>_xlfn.XLOOKUP(B36,'Format-Blr'!$B$51:$B$88,'Format-Blr'!BU$51:BU$88)</f>
        <v>4</v>
      </c>
      <c r="AV36" s="34">
        <f t="shared" si="4"/>
        <v>195</v>
      </c>
      <c r="AW36" s="34">
        <f t="shared" si="5"/>
        <v>5</v>
      </c>
      <c r="AX36" s="38">
        <f t="shared" si="6"/>
        <v>2.5641025641025639</v>
      </c>
      <c r="AY36" s="37">
        <f>_xlfn.XLOOKUP(B36,'Format-Blr'!B$51:B$88,'Format-Blr'!CF$51:CF$88)</f>
        <v>0</v>
      </c>
      <c r="AZ36" s="34">
        <f>_xlfn.XLOOKUP(B36,'Format-Blr'!B$51:B$88,'Format-Blr'!CG$51:CG$88)</f>
        <v>0</v>
      </c>
      <c r="BA36" s="35" t="e">
        <f t="shared" si="7"/>
        <v>#DIV/0!</v>
      </c>
      <c r="BB36" s="37">
        <f>_xlfn.XLOOKUP(B36,'Format-Blr'!$B$7:$B$44,'Format-Blr'!CF$7:CF$44)</f>
        <v>0</v>
      </c>
      <c r="BC36" s="34">
        <f>_xlfn.XLOOKUP(B36,'Format-Blr'!$B$7:$B$44,'Format-Blr'!CG$7:CG$44)</f>
        <v>0</v>
      </c>
      <c r="BD36" s="34">
        <f>_xlfn.XLOOKUP(B36,'Format-Blr'!$B$7:$B$44,'Format-Blr'!CI$7:CI$44)</f>
        <v>0</v>
      </c>
      <c r="BE36" s="34">
        <f>_xlfn.XLOOKUP(B36,'Format-Blr'!$B$7:$B$44,'Format-Blr'!CJ$7:CJ$44)</f>
        <v>0</v>
      </c>
      <c r="BF36" s="34">
        <f>_xlfn.XLOOKUP(B36,'Format-Blr'!$B$7:$B$44,'Format-Blr'!CL$7:CL$44)</f>
        <v>0</v>
      </c>
      <c r="BG36" s="34">
        <f>_xlfn.XLOOKUP(B36,'Format-Blr'!$B$7:$B$44,'Format-Blr'!CM$7:CM$44)</f>
        <v>0</v>
      </c>
      <c r="BH36" s="34">
        <f>_xlfn.XLOOKUP(B36,'Format-Blr'!$B$7:$B$44,'Format-Blr'!CO$7:CO$44)</f>
        <v>0</v>
      </c>
      <c r="BI36" s="52">
        <f>_xlfn.XLOOKUP(B36,'Format-Blr'!$B$7:$B$44,'Format-Blr'!CP$7:CP$44)</f>
        <v>0</v>
      </c>
      <c r="BJ36" s="37">
        <f t="shared" si="13"/>
        <v>0</v>
      </c>
      <c r="BK36" s="34">
        <f t="shared" si="8"/>
        <v>0</v>
      </c>
      <c r="BL36" s="38" t="e">
        <f t="shared" si="9"/>
        <v>#DIV/0!</v>
      </c>
      <c r="BN36" s="37">
        <f t="shared" si="10"/>
        <v>412</v>
      </c>
      <c r="BO36" s="34">
        <f t="shared" si="11"/>
        <v>206</v>
      </c>
      <c r="BP36" s="38">
        <f t="shared" si="12"/>
        <v>50</v>
      </c>
    </row>
    <row r="37" spans="1:68" s="9" customFormat="1" ht="21" customHeight="1" x14ac:dyDescent="0.25">
      <c r="A37" s="46" t="s">
        <v>40</v>
      </c>
      <c r="B37" s="55" t="s">
        <v>40</v>
      </c>
      <c r="C37" s="48" t="s">
        <v>15</v>
      </c>
      <c r="D37" s="49" t="s">
        <v>16</v>
      </c>
      <c r="E37" s="44">
        <f>_xlfn.XLOOKUP(B37,'Format-Blr'!$B$7:$B$44,'Format-Blr'!I$7:I$44)</f>
        <v>0</v>
      </c>
      <c r="F37" s="45">
        <f>_xlfn.XLOOKUP(B37,'Format-Blr'!$B$7:$B$44,'Format-Blr'!J$7:J$44)</f>
        <v>0</v>
      </c>
      <c r="G37" s="45">
        <f>_xlfn.XLOOKUP(B37,'Format-Blr'!$B$7:$B$44,'Format-Blr'!P$7:P$44)</f>
        <v>0</v>
      </c>
      <c r="H37" s="45">
        <f>_xlfn.XLOOKUP(B37,'Format-Blr'!$B$7:$B$44,'Format-Blr'!Q$7:Q$44)</f>
        <v>0</v>
      </c>
      <c r="I37" s="45">
        <f>_xlfn.XLOOKUP(B37,'Format-Blr'!$B$7:$B$44,'Format-Blr'!W$7:W$44)</f>
        <v>0</v>
      </c>
      <c r="J37" s="45">
        <f>_xlfn.XLOOKUP(B37,'Format-Blr'!$B$7:$B$44,'Format-Blr'!X$7:X$44)</f>
        <v>0</v>
      </c>
      <c r="K37" s="45">
        <f>_xlfn.XLOOKUP(B37,'Format-Blr'!$B$7:$B$44,'Format-Blr'!AD$7:AD$44)</f>
        <v>0</v>
      </c>
      <c r="L37" s="45">
        <f>_xlfn.XLOOKUP(B37,'Format-Blr'!$B$7:$B$44,'Format-Blr'!AE$7:AE$44)</f>
        <v>0</v>
      </c>
      <c r="M37" s="45">
        <f>_xlfn.XLOOKUP(B37,'Format-Blr'!$B$7:$B$44,'Format-Blr'!AK$7:AK$44)</f>
        <v>0</v>
      </c>
      <c r="N37" s="45">
        <f>_xlfn.XLOOKUP(B37,'Format-Blr'!$B$7:$B$44,'Format-Blr'!AL$7:AL$44)</f>
        <v>0</v>
      </c>
      <c r="O37" s="45">
        <f>_xlfn.XLOOKUP(B37,'Format-Blr'!$B$7:$B$44,'Format-Blr'!AR$7:AR$44)</f>
        <v>0</v>
      </c>
      <c r="P37" s="45">
        <f>_xlfn.XLOOKUP(B37,'Format-Blr'!$B$7:$B$44,'Format-Blr'!AS$7:AS$44)</f>
        <v>0</v>
      </c>
      <c r="Q37" s="45">
        <f>_xlfn.XLOOKUP(B37,'Format-Blr'!$B$7:$B$44,'Format-Blr'!AY$7:AY$44)</f>
        <v>0</v>
      </c>
      <c r="R37" s="45">
        <f>_xlfn.XLOOKUP(B37,'Format-Blr'!$B$7:$B$44,'Format-Blr'!AZ$7:AZ$44)</f>
        <v>0</v>
      </c>
      <c r="S37" s="45">
        <f>_xlfn.XLOOKUP(B37,'Format-Blr'!$B$7:$B$44,'Format-Blr'!BF$7:BF$44)</f>
        <v>0</v>
      </c>
      <c r="T37" s="45">
        <f>_xlfn.XLOOKUP(B37,'Format-Blr'!$B$7:$B$44,'Format-Blr'!BG$7:BG$44)</f>
        <v>0</v>
      </c>
      <c r="U37" s="45">
        <f>_xlfn.XLOOKUP(B37,'Format-Blr'!$B$7:$B$44,'Format-Blr'!BM$7:BM$44)</f>
        <v>0</v>
      </c>
      <c r="V37" s="45">
        <f>_xlfn.XLOOKUP(B37,'Format-Blr'!$B$7:$B$44,'Format-Blr'!BN$7:BN$44)</f>
        <v>0</v>
      </c>
      <c r="W37" s="45">
        <f>_xlfn.XLOOKUP(B37,'Format-Blr'!$B$7:$B$44,'Format-Blr'!BT$7:BT$44)</f>
        <v>0</v>
      </c>
      <c r="X37" s="45">
        <f>_xlfn.XLOOKUP(B37,'Format-Blr'!$B$7:$B$44,'Format-Blr'!BU$7:BU$44)</f>
        <v>0</v>
      </c>
      <c r="Y37" s="34">
        <f t="shared" si="1"/>
        <v>0</v>
      </c>
      <c r="Z37" s="34">
        <f t="shared" si="2"/>
        <v>0</v>
      </c>
      <c r="AA37" s="38" t="e">
        <f t="shared" si="3"/>
        <v>#DIV/0!</v>
      </c>
      <c r="AB37" s="44">
        <f>_xlfn.XLOOKUP(B37,'Format-Blr'!$B$51:$B$88,'Format-Blr'!I$51:I$88)</f>
        <v>0</v>
      </c>
      <c r="AC37" s="45">
        <f>_xlfn.XLOOKUP(B37,'Format-Blr'!$B$51:$B$88,'Format-Blr'!J$51:J$88)</f>
        <v>0</v>
      </c>
      <c r="AD37" s="45">
        <f>_xlfn.XLOOKUP(B37,'Format-Blr'!$B$51:$B$88,'Format-Blr'!P$51:P$88)</f>
        <v>8</v>
      </c>
      <c r="AE37" s="45">
        <f>_xlfn.XLOOKUP(B37,'Format-Blr'!$B$51:$B$88,'Format-Blr'!Q$51:Q$88)</f>
        <v>1</v>
      </c>
      <c r="AF37" s="45">
        <f>_xlfn.XLOOKUP(B37,'Format-Blr'!$B$51:$B$88,'Format-Blr'!W$51:W$88)</f>
        <v>0</v>
      </c>
      <c r="AG37" s="45">
        <f>_xlfn.XLOOKUP(B37,'Format-Blr'!$B$51:$B$88,'Format-Blr'!X$51:X$88)</f>
        <v>0</v>
      </c>
      <c r="AH37" s="45">
        <f>_xlfn.XLOOKUP(B37,'Format-Blr'!$B$51:$B$88,'Format-Blr'!AD$51:AD$88)</f>
        <v>0</v>
      </c>
      <c r="AI37" s="45">
        <f>_xlfn.XLOOKUP(B37,'Format-Blr'!$B$51:$B$88,'Format-Blr'!AE$51:AE$88)</f>
        <v>0</v>
      </c>
      <c r="AJ37" s="45">
        <f>_xlfn.XLOOKUP(B37,'Format-Blr'!$B$51:$B$88,'Format-Blr'!AK$51:AK$88)</f>
        <v>28</v>
      </c>
      <c r="AK37" s="45">
        <f>_xlfn.XLOOKUP(B37,'Format-Blr'!$B$51:$B$88,'Format-Blr'!AL$51:AL$88)</f>
        <v>8</v>
      </c>
      <c r="AL37" s="45">
        <f>_xlfn.XLOOKUP(B37,'Format-Blr'!$B$51:$B$88,'Format-Blr'!AR$51:AR$88)</f>
        <v>51</v>
      </c>
      <c r="AM37" s="45">
        <f>_xlfn.XLOOKUP(B37,'Format-Blr'!$B$51:$B$88,'Format-Blr'!AS$51:AS$88)</f>
        <v>35</v>
      </c>
      <c r="AN37" s="45">
        <f>_xlfn.XLOOKUP(B37,'Format-Blr'!$B$51:$B$88,'Format-Blr'!AY$51:AY$88)</f>
        <v>36</v>
      </c>
      <c r="AO37" s="45">
        <f>_xlfn.XLOOKUP(B37,'Format-Blr'!$B$51:$B$88,'Format-Blr'!AZ$51:AZ$88)</f>
        <v>25</v>
      </c>
      <c r="AP37" s="45">
        <f>_xlfn.XLOOKUP(B37,'Format-Blr'!$B$51:$B$88,'Format-Blr'!BF$51:BF$88)</f>
        <v>0</v>
      </c>
      <c r="AQ37" s="45">
        <f>_xlfn.XLOOKUP(B37,'Format-Blr'!$B$51:$B$88,'Format-Blr'!BG$51:BG$88)</f>
        <v>0</v>
      </c>
      <c r="AR37" s="45">
        <f>_xlfn.XLOOKUP(B37,'Format-Blr'!$B$51:$B$88,'Format-Blr'!BM$51:BM$88)</f>
        <v>65</v>
      </c>
      <c r="AS37" s="45">
        <f>_xlfn.XLOOKUP(B37,'Format-Blr'!$B$51:$B$88,'Format-Blr'!BN$51:BN$88)</f>
        <v>38</v>
      </c>
      <c r="AT37" s="45">
        <f>_xlfn.XLOOKUP(B37,'Format-Blr'!$B$51:$B$88,'Format-Blr'!BT$51:BT$88)</f>
        <v>60</v>
      </c>
      <c r="AU37" s="45">
        <f>_xlfn.XLOOKUP(B37,'Format-Blr'!$B$51:$B$88,'Format-Blr'!BU$51:BU$88)</f>
        <v>32</v>
      </c>
      <c r="AV37" s="34">
        <f t="shared" si="4"/>
        <v>248</v>
      </c>
      <c r="AW37" s="34">
        <f t="shared" si="5"/>
        <v>139</v>
      </c>
      <c r="AX37" s="38">
        <f t="shared" si="6"/>
        <v>56.048387096774185</v>
      </c>
      <c r="AY37" s="37">
        <f>_xlfn.XLOOKUP(B37,'Format-Blr'!B$51:B$88,'Format-Blr'!CF$51:CF$88)</f>
        <v>0</v>
      </c>
      <c r="AZ37" s="34">
        <f>_xlfn.XLOOKUP(B37,'Format-Blr'!B$51:B$88,'Format-Blr'!CG$51:CG$88)</f>
        <v>0</v>
      </c>
      <c r="BA37" s="35" t="e">
        <f t="shared" si="7"/>
        <v>#DIV/0!</v>
      </c>
      <c r="BB37" s="37">
        <f>_xlfn.XLOOKUP(B37,'Format-Blr'!$B$7:$B$44,'Format-Blr'!CF$7:CF$44)</f>
        <v>0</v>
      </c>
      <c r="BC37" s="34">
        <f>_xlfn.XLOOKUP(B37,'Format-Blr'!$B$7:$B$44,'Format-Blr'!CG$7:CG$44)</f>
        <v>0</v>
      </c>
      <c r="BD37" s="34">
        <f>_xlfn.XLOOKUP(B37,'Format-Blr'!$B$7:$B$44,'Format-Blr'!CI$7:CI$44)</f>
        <v>0</v>
      </c>
      <c r="BE37" s="34">
        <f>_xlfn.XLOOKUP(B37,'Format-Blr'!$B$7:$B$44,'Format-Blr'!CJ$7:CJ$44)</f>
        <v>0</v>
      </c>
      <c r="BF37" s="34">
        <f>_xlfn.XLOOKUP(B37,'Format-Blr'!$B$7:$B$44,'Format-Blr'!CL$7:CL$44)</f>
        <v>0</v>
      </c>
      <c r="BG37" s="34">
        <f>_xlfn.XLOOKUP(B37,'Format-Blr'!$B$7:$B$44,'Format-Blr'!CM$7:CM$44)</f>
        <v>0</v>
      </c>
      <c r="BH37" s="34">
        <f>_xlfn.XLOOKUP(B37,'Format-Blr'!$B$7:$B$44,'Format-Blr'!CO$7:CO$44)</f>
        <v>0</v>
      </c>
      <c r="BI37" s="52">
        <f>_xlfn.XLOOKUP(B37,'Format-Blr'!$B$7:$B$44,'Format-Blr'!CP$7:CP$44)</f>
        <v>0</v>
      </c>
      <c r="BJ37" s="37">
        <f t="shared" si="13"/>
        <v>0</v>
      </c>
      <c r="BK37" s="34">
        <f t="shared" si="8"/>
        <v>0</v>
      </c>
      <c r="BL37" s="38" t="e">
        <f t="shared" si="9"/>
        <v>#DIV/0!</v>
      </c>
      <c r="BN37" s="37">
        <f t="shared" si="10"/>
        <v>248</v>
      </c>
      <c r="BO37" s="34">
        <f t="shared" si="11"/>
        <v>139</v>
      </c>
      <c r="BP37" s="38">
        <f t="shared" si="12"/>
        <v>56.048387096774185</v>
      </c>
    </row>
    <row r="38" spans="1:68" s="9" customFormat="1" ht="21" customHeight="1" x14ac:dyDescent="0.25">
      <c r="A38" s="46" t="s">
        <v>40</v>
      </c>
      <c r="B38" s="55" t="s">
        <v>83</v>
      </c>
      <c r="C38" s="48" t="s">
        <v>15</v>
      </c>
      <c r="D38" s="49" t="s">
        <v>16</v>
      </c>
      <c r="E38" s="44">
        <f>_xlfn.XLOOKUP(B38,'Format-Blr'!$B$7:$B$44,'Format-Blr'!I$7:I$44)</f>
        <v>0</v>
      </c>
      <c r="F38" s="45">
        <f>_xlfn.XLOOKUP(B38,'Format-Blr'!$B$7:$B$44,'Format-Blr'!J$7:J$44)</f>
        <v>0</v>
      </c>
      <c r="G38" s="45">
        <f>_xlfn.XLOOKUP(B38,'Format-Blr'!$B$7:$B$44,'Format-Blr'!P$7:P$44)</f>
        <v>0</v>
      </c>
      <c r="H38" s="45">
        <f>_xlfn.XLOOKUP(B38,'Format-Blr'!$B$7:$B$44,'Format-Blr'!Q$7:Q$44)</f>
        <v>0</v>
      </c>
      <c r="I38" s="45">
        <f>_xlfn.XLOOKUP(B38,'Format-Blr'!$B$7:$B$44,'Format-Blr'!W$7:W$44)</f>
        <v>14</v>
      </c>
      <c r="J38" s="45">
        <f>_xlfn.XLOOKUP(B38,'Format-Blr'!$B$7:$B$44,'Format-Blr'!X$7:X$44)</f>
        <v>13</v>
      </c>
      <c r="K38" s="45">
        <f>_xlfn.XLOOKUP(B38,'Format-Blr'!$B$7:$B$44,'Format-Blr'!AD$7:AD$44)</f>
        <v>0</v>
      </c>
      <c r="L38" s="45">
        <f>_xlfn.XLOOKUP(B38,'Format-Blr'!$B$7:$B$44,'Format-Blr'!AE$7:AE$44)</f>
        <v>0</v>
      </c>
      <c r="M38" s="45">
        <f>_xlfn.XLOOKUP(B38,'Format-Blr'!$B$7:$B$44,'Format-Blr'!AK$7:AK$44)</f>
        <v>43</v>
      </c>
      <c r="N38" s="45">
        <f>_xlfn.XLOOKUP(B38,'Format-Blr'!$B$7:$B$44,'Format-Blr'!AL$7:AL$44)</f>
        <v>40</v>
      </c>
      <c r="O38" s="45">
        <f>_xlfn.XLOOKUP(B38,'Format-Blr'!$B$7:$B$44,'Format-Blr'!AR$7:AR$44)</f>
        <v>67</v>
      </c>
      <c r="P38" s="45">
        <f>_xlfn.XLOOKUP(B38,'Format-Blr'!$B$7:$B$44,'Format-Blr'!AS$7:AS$44)</f>
        <v>64</v>
      </c>
      <c r="Q38" s="45">
        <f>_xlfn.XLOOKUP(B38,'Format-Blr'!$B$7:$B$44,'Format-Blr'!AY$7:AY$44)</f>
        <v>32</v>
      </c>
      <c r="R38" s="45">
        <f>_xlfn.XLOOKUP(B38,'Format-Blr'!$B$7:$B$44,'Format-Blr'!AZ$7:AZ$44)</f>
        <v>31</v>
      </c>
      <c r="S38" s="45">
        <f>_xlfn.XLOOKUP(B38,'Format-Blr'!$B$7:$B$44,'Format-Blr'!BF$7:BF$44)</f>
        <v>56</v>
      </c>
      <c r="T38" s="45">
        <f>_xlfn.XLOOKUP(B38,'Format-Blr'!$B$7:$B$44,'Format-Blr'!BG$7:BG$44)</f>
        <v>50</v>
      </c>
      <c r="U38" s="45">
        <f>_xlfn.XLOOKUP(B38,'Format-Blr'!$B$7:$B$44,'Format-Blr'!BM$7:BM$44)</f>
        <v>49</v>
      </c>
      <c r="V38" s="45">
        <f>_xlfn.XLOOKUP(B38,'Format-Blr'!$B$7:$B$44,'Format-Blr'!BN$7:BN$44)</f>
        <v>44</v>
      </c>
      <c r="W38" s="45">
        <f>_xlfn.XLOOKUP(B38,'Format-Blr'!$B$7:$B$44,'Format-Blr'!BT$7:BT$44)</f>
        <v>49</v>
      </c>
      <c r="X38" s="45">
        <f>_xlfn.XLOOKUP(B38,'Format-Blr'!$B$7:$B$44,'Format-Blr'!BU$7:BU$44)</f>
        <v>47</v>
      </c>
      <c r="Y38" s="34">
        <f t="shared" si="1"/>
        <v>310</v>
      </c>
      <c r="Z38" s="34">
        <f t="shared" si="2"/>
        <v>289</v>
      </c>
      <c r="AA38" s="38">
        <f t="shared" si="3"/>
        <v>93.225806451612897</v>
      </c>
      <c r="AB38" s="44">
        <f>_xlfn.XLOOKUP(B38,'Format-Blr'!$B$51:$B$88,'Format-Blr'!I$51:I$88)</f>
        <v>0</v>
      </c>
      <c r="AC38" s="45">
        <f>_xlfn.XLOOKUP(B38,'Format-Blr'!$B$51:$B$88,'Format-Blr'!J$51:J$88)</f>
        <v>0</v>
      </c>
      <c r="AD38" s="45">
        <f>_xlfn.XLOOKUP(B38,'Format-Blr'!$B$51:$B$88,'Format-Blr'!P$51:P$88)</f>
        <v>0</v>
      </c>
      <c r="AE38" s="45">
        <f>_xlfn.XLOOKUP(B38,'Format-Blr'!$B$51:$B$88,'Format-Blr'!Q$51:Q$88)</f>
        <v>0</v>
      </c>
      <c r="AF38" s="45">
        <f>_xlfn.XLOOKUP(B38,'Format-Blr'!$B$51:$B$88,'Format-Blr'!W$51:W$88)</f>
        <v>0</v>
      </c>
      <c r="AG38" s="45">
        <f>_xlfn.XLOOKUP(B38,'Format-Blr'!$B$51:$B$88,'Format-Blr'!X$51:X$88)</f>
        <v>0</v>
      </c>
      <c r="AH38" s="45">
        <f>_xlfn.XLOOKUP(B38,'Format-Blr'!$B$51:$B$88,'Format-Blr'!AD$51:AD$88)</f>
        <v>0</v>
      </c>
      <c r="AI38" s="45">
        <f>_xlfn.XLOOKUP(B38,'Format-Blr'!$B$51:$B$88,'Format-Blr'!AE$51:AE$88)</f>
        <v>0</v>
      </c>
      <c r="AJ38" s="45">
        <f>_xlfn.XLOOKUP(B38,'Format-Blr'!$B$51:$B$88,'Format-Blr'!AK$51:AK$88)</f>
        <v>0</v>
      </c>
      <c r="AK38" s="45">
        <f>_xlfn.XLOOKUP(B38,'Format-Blr'!$B$51:$B$88,'Format-Blr'!AL$51:AL$88)</f>
        <v>0</v>
      </c>
      <c r="AL38" s="45">
        <f>_xlfn.XLOOKUP(B38,'Format-Blr'!$B$51:$B$88,'Format-Blr'!AR$51:AR$88)</f>
        <v>0</v>
      </c>
      <c r="AM38" s="45">
        <f>_xlfn.XLOOKUP(B38,'Format-Blr'!$B$51:$B$88,'Format-Blr'!AS$51:AS$88)</f>
        <v>0</v>
      </c>
      <c r="AN38" s="45">
        <f>_xlfn.XLOOKUP(B38,'Format-Blr'!$B$51:$B$88,'Format-Blr'!AY$51:AY$88)</f>
        <v>0</v>
      </c>
      <c r="AO38" s="45">
        <f>_xlfn.XLOOKUP(B38,'Format-Blr'!$B$51:$B$88,'Format-Blr'!AZ$51:AZ$88)</f>
        <v>0</v>
      </c>
      <c r="AP38" s="45">
        <f>_xlfn.XLOOKUP(B38,'Format-Blr'!$B$51:$B$88,'Format-Blr'!BF$51:BF$88)</f>
        <v>0</v>
      </c>
      <c r="AQ38" s="45">
        <f>_xlfn.XLOOKUP(B38,'Format-Blr'!$B$51:$B$88,'Format-Blr'!BG$51:BG$88)</f>
        <v>0</v>
      </c>
      <c r="AR38" s="45">
        <f>_xlfn.XLOOKUP(B38,'Format-Blr'!$B$51:$B$88,'Format-Blr'!BM$51:BM$88)</f>
        <v>0</v>
      </c>
      <c r="AS38" s="45">
        <f>_xlfn.XLOOKUP(B38,'Format-Blr'!$B$51:$B$88,'Format-Blr'!BN$51:BN$88)</f>
        <v>0</v>
      </c>
      <c r="AT38" s="45">
        <f>_xlfn.XLOOKUP(B38,'Format-Blr'!$B$51:$B$88,'Format-Blr'!BT$51:BT$88)</f>
        <v>0</v>
      </c>
      <c r="AU38" s="45">
        <f>_xlfn.XLOOKUP(B38,'Format-Blr'!$B$51:$B$88,'Format-Blr'!BU$51:BU$88)</f>
        <v>0</v>
      </c>
      <c r="AV38" s="34">
        <f t="shared" si="4"/>
        <v>0</v>
      </c>
      <c r="AW38" s="34">
        <f t="shared" si="5"/>
        <v>0</v>
      </c>
      <c r="AX38" s="38" t="e">
        <f t="shared" si="6"/>
        <v>#DIV/0!</v>
      </c>
      <c r="AY38" s="37">
        <f>_xlfn.XLOOKUP(B38,'Format-Blr'!B$51:B$88,'Format-Blr'!CF$51:CF$88)</f>
        <v>0</v>
      </c>
      <c r="AZ38" s="34">
        <f>_xlfn.XLOOKUP(B38,'Format-Blr'!B$51:B$88,'Format-Blr'!CG$51:CG$88)</f>
        <v>0</v>
      </c>
      <c r="BA38" s="35" t="e">
        <f t="shared" si="7"/>
        <v>#DIV/0!</v>
      </c>
      <c r="BB38" s="37">
        <f>_xlfn.XLOOKUP(B38,'Format-Blr'!$B$7:$B$44,'Format-Blr'!CF$7:CF$44)</f>
        <v>0</v>
      </c>
      <c r="BC38" s="34">
        <f>_xlfn.XLOOKUP(B38,'Format-Blr'!$B$7:$B$44,'Format-Blr'!CG$7:CG$44)</f>
        <v>0</v>
      </c>
      <c r="BD38" s="34">
        <f>_xlfn.XLOOKUP(B38,'Format-Blr'!$B$7:$B$44,'Format-Blr'!CI$7:CI$44)</f>
        <v>0</v>
      </c>
      <c r="BE38" s="34">
        <f>_xlfn.XLOOKUP(B38,'Format-Blr'!$B$7:$B$44,'Format-Blr'!CJ$7:CJ$44)</f>
        <v>0</v>
      </c>
      <c r="BF38" s="34">
        <f>_xlfn.XLOOKUP(B38,'Format-Blr'!$B$7:$B$44,'Format-Blr'!CL$7:CL$44)</f>
        <v>0</v>
      </c>
      <c r="BG38" s="34">
        <f>_xlfn.XLOOKUP(B38,'Format-Blr'!$B$7:$B$44,'Format-Blr'!CM$7:CM$44)</f>
        <v>0</v>
      </c>
      <c r="BH38" s="34">
        <f>_xlfn.XLOOKUP(B38,'Format-Blr'!$B$7:$B$44,'Format-Blr'!CO$7:CO$44)</f>
        <v>0</v>
      </c>
      <c r="BI38" s="52">
        <f>_xlfn.XLOOKUP(B38,'Format-Blr'!$B$7:$B$44,'Format-Blr'!CP$7:CP$44)</f>
        <v>0</v>
      </c>
      <c r="BJ38" s="37">
        <f t="shared" si="13"/>
        <v>0</v>
      </c>
      <c r="BK38" s="34">
        <f t="shared" si="8"/>
        <v>0</v>
      </c>
      <c r="BL38" s="38" t="e">
        <f t="shared" si="9"/>
        <v>#DIV/0!</v>
      </c>
      <c r="BN38" s="37">
        <f t="shared" si="10"/>
        <v>310</v>
      </c>
      <c r="BO38" s="34">
        <f t="shared" si="11"/>
        <v>289</v>
      </c>
      <c r="BP38" s="38">
        <f t="shared" si="12"/>
        <v>93.225806451612897</v>
      </c>
    </row>
    <row r="39" spans="1:68" s="9" customFormat="1" ht="21" customHeight="1" x14ac:dyDescent="0.25">
      <c r="A39" s="46" t="s">
        <v>35</v>
      </c>
      <c r="B39" s="56" t="s">
        <v>68</v>
      </c>
      <c r="C39" s="48" t="s">
        <v>17</v>
      </c>
      <c r="D39" s="49" t="s">
        <v>18</v>
      </c>
      <c r="E39" s="44">
        <f>_xlfn.XLOOKUP(B39,'Format-Blr'!$B$7:$B$44,'Format-Blr'!I$7:I$44)</f>
        <v>0</v>
      </c>
      <c r="F39" s="45">
        <f>_xlfn.XLOOKUP(B39,'Format-Blr'!$B$7:$B$44,'Format-Blr'!J$7:J$44)</f>
        <v>0</v>
      </c>
      <c r="G39" s="45">
        <f>_xlfn.XLOOKUP(B39,'Format-Blr'!$B$7:$B$44,'Format-Blr'!P$7:P$44)</f>
        <v>0</v>
      </c>
      <c r="H39" s="45">
        <f>_xlfn.XLOOKUP(B39,'Format-Blr'!$B$7:$B$44,'Format-Blr'!Q$7:Q$44)</f>
        <v>0</v>
      </c>
      <c r="I39" s="45">
        <f>_xlfn.XLOOKUP(B39,'Format-Blr'!$B$7:$B$44,'Format-Blr'!W$7:W$44)</f>
        <v>18</v>
      </c>
      <c r="J39" s="45">
        <f>_xlfn.XLOOKUP(B39,'Format-Blr'!$B$7:$B$44,'Format-Blr'!X$7:X$44)</f>
        <v>16</v>
      </c>
      <c r="K39" s="45">
        <f>_xlfn.XLOOKUP(B39,'Format-Blr'!$B$7:$B$44,'Format-Blr'!AD$7:AD$44)</f>
        <v>0</v>
      </c>
      <c r="L39" s="45">
        <f>_xlfn.XLOOKUP(B39,'Format-Blr'!$B$7:$B$44,'Format-Blr'!AE$7:AE$44)</f>
        <v>0</v>
      </c>
      <c r="M39" s="45">
        <f>_xlfn.XLOOKUP(B39,'Format-Blr'!$B$7:$B$44,'Format-Blr'!AK$7:AK$44)</f>
        <v>0</v>
      </c>
      <c r="N39" s="45">
        <f>_xlfn.XLOOKUP(B39,'Format-Blr'!$B$7:$B$44,'Format-Blr'!AL$7:AL$44)</f>
        <v>0</v>
      </c>
      <c r="O39" s="45">
        <f>_xlfn.XLOOKUP(B39,'Format-Blr'!$B$7:$B$44,'Format-Blr'!AR$7:AR$44)</f>
        <v>44</v>
      </c>
      <c r="P39" s="45">
        <f>_xlfn.XLOOKUP(B39,'Format-Blr'!$B$7:$B$44,'Format-Blr'!AS$7:AS$44)</f>
        <v>28</v>
      </c>
      <c r="Q39" s="45">
        <f>_xlfn.XLOOKUP(B39,'Format-Blr'!$B$7:$B$44,'Format-Blr'!AY$7:AY$44)</f>
        <v>36</v>
      </c>
      <c r="R39" s="45">
        <f>_xlfn.XLOOKUP(B39,'Format-Blr'!$B$7:$B$44,'Format-Blr'!AZ$7:AZ$44)</f>
        <v>36</v>
      </c>
      <c r="S39" s="45">
        <f>_xlfn.XLOOKUP(B39,'Format-Blr'!$B$7:$B$44,'Format-Blr'!BF$7:BF$44)</f>
        <v>63</v>
      </c>
      <c r="T39" s="45">
        <f>_xlfn.XLOOKUP(B39,'Format-Blr'!$B$7:$B$44,'Format-Blr'!BG$7:BG$44)</f>
        <v>59</v>
      </c>
      <c r="U39" s="45">
        <f>_xlfn.XLOOKUP(B39,'Format-Blr'!$B$7:$B$44,'Format-Blr'!BM$7:BM$44)</f>
        <v>0</v>
      </c>
      <c r="V39" s="45">
        <f>_xlfn.XLOOKUP(B39,'Format-Blr'!$B$7:$B$44,'Format-Blr'!BN$7:BN$44)</f>
        <v>0</v>
      </c>
      <c r="W39" s="45">
        <f>_xlfn.XLOOKUP(B39,'Format-Blr'!$B$7:$B$44,'Format-Blr'!BT$7:BT$44)</f>
        <v>0</v>
      </c>
      <c r="X39" s="45">
        <f>_xlfn.XLOOKUP(B39,'Format-Blr'!$B$7:$B$44,'Format-Blr'!BU$7:BU$44)</f>
        <v>0</v>
      </c>
      <c r="Y39" s="34">
        <f t="shared" si="1"/>
        <v>161</v>
      </c>
      <c r="Z39" s="34">
        <f t="shared" si="2"/>
        <v>139</v>
      </c>
      <c r="AA39" s="38">
        <f t="shared" si="3"/>
        <v>86.335403726708066</v>
      </c>
      <c r="AB39" s="44">
        <f>_xlfn.XLOOKUP(B39,'Format-Blr'!$B$51:$B$88,'Format-Blr'!I$51:I$88)</f>
        <v>0</v>
      </c>
      <c r="AC39" s="45">
        <f>_xlfn.XLOOKUP(B39,'Format-Blr'!$B$51:$B$88,'Format-Blr'!J$51:J$88)</f>
        <v>0</v>
      </c>
      <c r="AD39" s="45">
        <f>_xlfn.XLOOKUP(B39,'Format-Blr'!$B$51:$B$88,'Format-Blr'!P$51:P$88)</f>
        <v>0</v>
      </c>
      <c r="AE39" s="45">
        <f>_xlfn.XLOOKUP(B39,'Format-Blr'!$B$51:$B$88,'Format-Blr'!Q$51:Q$88)</f>
        <v>0</v>
      </c>
      <c r="AF39" s="45">
        <f>_xlfn.XLOOKUP(B39,'Format-Blr'!$B$51:$B$88,'Format-Blr'!W$51:W$88)</f>
        <v>22</v>
      </c>
      <c r="AG39" s="45">
        <f>_xlfn.XLOOKUP(B39,'Format-Blr'!$B$51:$B$88,'Format-Blr'!X$51:X$88)</f>
        <v>5</v>
      </c>
      <c r="AH39" s="45">
        <f>_xlfn.XLOOKUP(B39,'Format-Blr'!$B$51:$B$88,'Format-Blr'!AD$51:AD$88)</f>
        <v>0</v>
      </c>
      <c r="AI39" s="45">
        <f>_xlfn.XLOOKUP(B39,'Format-Blr'!$B$51:$B$88,'Format-Blr'!AE$51:AE$88)</f>
        <v>0</v>
      </c>
      <c r="AJ39" s="45">
        <f>_xlfn.XLOOKUP(B39,'Format-Blr'!$B$51:$B$88,'Format-Blr'!AK$51:AK$88)</f>
        <v>0</v>
      </c>
      <c r="AK39" s="45">
        <f>_xlfn.XLOOKUP(B39,'Format-Blr'!$B$51:$B$88,'Format-Blr'!AL$51:AL$88)</f>
        <v>0</v>
      </c>
      <c r="AL39" s="45">
        <f>_xlfn.XLOOKUP(B39,'Format-Blr'!$B$51:$B$88,'Format-Blr'!AR$51:AR$88)</f>
        <v>32</v>
      </c>
      <c r="AM39" s="45">
        <f>_xlfn.XLOOKUP(B39,'Format-Blr'!$B$51:$B$88,'Format-Blr'!AS$51:AS$88)</f>
        <v>13</v>
      </c>
      <c r="AN39" s="45">
        <f>_xlfn.XLOOKUP(B39,'Format-Blr'!$B$51:$B$88,'Format-Blr'!AY$51:AY$88)</f>
        <v>21</v>
      </c>
      <c r="AO39" s="45">
        <f>_xlfn.XLOOKUP(B39,'Format-Blr'!$B$51:$B$88,'Format-Blr'!AZ$51:AZ$88)</f>
        <v>14</v>
      </c>
      <c r="AP39" s="45">
        <f>_xlfn.XLOOKUP(B39,'Format-Blr'!$B$51:$B$88,'Format-Blr'!BF$51:BF$88)</f>
        <v>0</v>
      </c>
      <c r="AQ39" s="45">
        <f>_xlfn.XLOOKUP(B39,'Format-Blr'!$B$51:$B$88,'Format-Blr'!BG$51:BG$88)</f>
        <v>0</v>
      </c>
      <c r="AR39" s="45">
        <f>_xlfn.XLOOKUP(B39,'Format-Blr'!$B$51:$B$88,'Format-Blr'!BM$51:BM$88)</f>
        <v>0</v>
      </c>
      <c r="AS39" s="45">
        <f>_xlfn.XLOOKUP(B39,'Format-Blr'!$B$51:$B$88,'Format-Blr'!BN$51:BN$88)</f>
        <v>0</v>
      </c>
      <c r="AT39" s="45">
        <f>_xlfn.XLOOKUP(B39,'Format-Blr'!$B$51:$B$88,'Format-Blr'!BT$51:BT$88)</f>
        <v>50</v>
      </c>
      <c r="AU39" s="45">
        <f>_xlfn.XLOOKUP(B39,'Format-Blr'!$B$51:$B$88,'Format-Blr'!BU$51:BU$88)</f>
        <v>29</v>
      </c>
      <c r="AV39" s="34">
        <f t="shared" si="4"/>
        <v>125</v>
      </c>
      <c r="AW39" s="34">
        <f t="shared" si="5"/>
        <v>61</v>
      </c>
      <c r="AX39" s="38">
        <f t="shared" si="6"/>
        <v>48.8</v>
      </c>
      <c r="AY39" s="37">
        <f>_xlfn.XLOOKUP(B39,'Format-Blr'!B$51:B$88,'Format-Blr'!CF$51:CF$88)</f>
        <v>0</v>
      </c>
      <c r="AZ39" s="34">
        <f>_xlfn.XLOOKUP(B39,'Format-Blr'!B$51:B$88,'Format-Blr'!CG$51:CG$88)</f>
        <v>0</v>
      </c>
      <c r="BA39" s="35" t="e">
        <f t="shared" si="7"/>
        <v>#DIV/0!</v>
      </c>
      <c r="BB39" s="37">
        <f>_xlfn.XLOOKUP(B39,'Format-Blr'!$B$7:$B$44,'Format-Blr'!CF$7:CF$44)</f>
        <v>0</v>
      </c>
      <c r="BC39" s="34">
        <f>_xlfn.XLOOKUP(B39,'Format-Blr'!$B$7:$B$44,'Format-Blr'!CG$7:CG$44)</f>
        <v>0</v>
      </c>
      <c r="BD39" s="34">
        <f>_xlfn.XLOOKUP(B39,'Format-Blr'!$B$7:$B$44,'Format-Blr'!CI$7:CI$44)</f>
        <v>0</v>
      </c>
      <c r="BE39" s="34">
        <f>_xlfn.XLOOKUP(B39,'Format-Blr'!$B$7:$B$44,'Format-Blr'!CJ$7:CJ$44)</f>
        <v>0</v>
      </c>
      <c r="BF39" s="34">
        <f>_xlfn.XLOOKUP(B39,'Format-Blr'!$B$7:$B$44,'Format-Blr'!CL$7:CL$44)</f>
        <v>0</v>
      </c>
      <c r="BG39" s="34">
        <f>_xlfn.XLOOKUP(B39,'Format-Blr'!$B$7:$B$44,'Format-Blr'!CM$7:CM$44)</f>
        <v>0</v>
      </c>
      <c r="BH39" s="34">
        <f>_xlfn.XLOOKUP(B39,'Format-Blr'!$B$7:$B$44,'Format-Blr'!CO$7:CO$44)</f>
        <v>0</v>
      </c>
      <c r="BI39" s="52">
        <f>_xlfn.XLOOKUP(B39,'Format-Blr'!$B$7:$B$44,'Format-Blr'!CP$7:CP$44)</f>
        <v>0</v>
      </c>
      <c r="BJ39" s="37">
        <f t="shared" si="13"/>
        <v>0</v>
      </c>
      <c r="BK39" s="34">
        <f t="shared" si="8"/>
        <v>0</v>
      </c>
      <c r="BL39" s="38" t="e">
        <f t="shared" si="9"/>
        <v>#DIV/0!</v>
      </c>
      <c r="BN39" s="37">
        <f t="shared" si="10"/>
        <v>286</v>
      </c>
      <c r="BO39" s="34">
        <f t="shared" si="11"/>
        <v>200</v>
      </c>
      <c r="BP39" s="38">
        <f t="shared" si="12"/>
        <v>69.930069930069934</v>
      </c>
    </row>
    <row r="40" spans="1:68" s="9" customFormat="1" ht="21" customHeight="1" x14ac:dyDescent="0.25">
      <c r="A40" s="46" t="s">
        <v>35</v>
      </c>
      <c r="B40" s="55" t="s">
        <v>67</v>
      </c>
      <c r="C40" s="50" t="s">
        <v>17</v>
      </c>
      <c r="D40" s="49" t="s">
        <v>19</v>
      </c>
      <c r="E40" s="44">
        <f>_xlfn.XLOOKUP(B40,'Format-Blr'!$B$7:$B$44,'Format-Blr'!I$7:I$44)</f>
        <v>0</v>
      </c>
      <c r="F40" s="45">
        <f>_xlfn.XLOOKUP(B40,'Format-Blr'!$B$7:$B$44,'Format-Blr'!J$7:J$44)</f>
        <v>0</v>
      </c>
      <c r="G40" s="45">
        <f>_xlfn.XLOOKUP(B40,'Format-Blr'!$B$7:$B$44,'Format-Blr'!P$7:P$44)</f>
        <v>0</v>
      </c>
      <c r="H40" s="45">
        <f>_xlfn.XLOOKUP(B40,'Format-Blr'!$B$7:$B$44,'Format-Blr'!Q$7:Q$44)</f>
        <v>0</v>
      </c>
      <c r="I40" s="45">
        <f>_xlfn.XLOOKUP(B40,'Format-Blr'!$B$7:$B$44,'Format-Blr'!W$7:W$44)</f>
        <v>17</v>
      </c>
      <c r="J40" s="45">
        <f>_xlfn.XLOOKUP(B40,'Format-Blr'!$B$7:$B$44,'Format-Blr'!X$7:X$44)</f>
        <v>16</v>
      </c>
      <c r="K40" s="45">
        <f>_xlfn.XLOOKUP(B40,'Format-Blr'!$B$7:$B$44,'Format-Blr'!AD$7:AD$44)</f>
        <v>0</v>
      </c>
      <c r="L40" s="45">
        <f>_xlfn.XLOOKUP(B40,'Format-Blr'!$B$7:$B$44,'Format-Blr'!AE$7:AE$44)</f>
        <v>0</v>
      </c>
      <c r="M40" s="45">
        <f>_xlfn.XLOOKUP(B40,'Format-Blr'!$B$7:$B$44,'Format-Blr'!AK$7:AK$44)</f>
        <v>0</v>
      </c>
      <c r="N40" s="45">
        <f>_xlfn.XLOOKUP(B40,'Format-Blr'!$B$7:$B$44,'Format-Blr'!AL$7:AL$44)</f>
        <v>0</v>
      </c>
      <c r="O40" s="45">
        <f>_xlfn.XLOOKUP(B40,'Format-Blr'!$B$7:$B$44,'Format-Blr'!AR$7:AR$44)</f>
        <v>64</v>
      </c>
      <c r="P40" s="45">
        <f>_xlfn.XLOOKUP(B40,'Format-Blr'!$B$7:$B$44,'Format-Blr'!AS$7:AS$44)</f>
        <v>46</v>
      </c>
      <c r="Q40" s="45">
        <f>_xlfn.XLOOKUP(B40,'Format-Blr'!$B$7:$B$44,'Format-Blr'!AY$7:AY$44)</f>
        <v>4</v>
      </c>
      <c r="R40" s="45">
        <f>_xlfn.XLOOKUP(B40,'Format-Blr'!$B$7:$B$44,'Format-Blr'!AZ$7:AZ$44)</f>
        <v>4</v>
      </c>
      <c r="S40" s="45">
        <f>_xlfn.XLOOKUP(B40,'Format-Blr'!$B$7:$B$44,'Format-Blr'!BF$7:BF$44)</f>
        <v>36</v>
      </c>
      <c r="T40" s="45">
        <f>_xlfn.XLOOKUP(B40,'Format-Blr'!$B$7:$B$44,'Format-Blr'!BG$7:BG$44)</f>
        <v>28</v>
      </c>
      <c r="U40" s="45">
        <f>_xlfn.XLOOKUP(B40,'Format-Blr'!$B$7:$B$44,'Format-Blr'!BM$7:BM$44)</f>
        <v>29</v>
      </c>
      <c r="V40" s="45">
        <f>_xlfn.XLOOKUP(B40,'Format-Blr'!$B$7:$B$44,'Format-Blr'!BN$7:BN$44)</f>
        <v>27</v>
      </c>
      <c r="W40" s="45">
        <f>_xlfn.XLOOKUP(B40,'Format-Blr'!$B$7:$B$44,'Format-Blr'!BT$7:BT$44)</f>
        <v>0</v>
      </c>
      <c r="X40" s="45">
        <f>_xlfn.XLOOKUP(B40,'Format-Blr'!$B$7:$B$44,'Format-Blr'!BU$7:BU$44)</f>
        <v>0</v>
      </c>
      <c r="Y40" s="34">
        <f t="shared" si="1"/>
        <v>150</v>
      </c>
      <c r="Z40" s="34">
        <f t="shared" si="2"/>
        <v>121</v>
      </c>
      <c r="AA40" s="38">
        <f t="shared" si="3"/>
        <v>80.666666666666657</v>
      </c>
      <c r="AB40" s="44">
        <f>_xlfn.XLOOKUP(B40,'Format-Blr'!$B$51:$B$88,'Format-Blr'!I$51:I$88)</f>
        <v>0</v>
      </c>
      <c r="AC40" s="45">
        <f>_xlfn.XLOOKUP(B40,'Format-Blr'!$B$51:$B$88,'Format-Blr'!J$51:J$88)</f>
        <v>0</v>
      </c>
      <c r="AD40" s="45">
        <f>_xlfn.XLOOKUP(B40,'Format-Blr'!$B$51:$B$88,'Format-Blr'!P$51:P$88)</f>
        <v>0</v>
      </c>
      <c r="AE40" s="45">
        <f>_xlfn.XLOOKUP(B40,'Format-Blr'!$B$51:$B$88,'Format-Blr'!Q$51:Q$88)</f>
        <v>0</v>
      </c>
      <c r="AF40" s="45">
        <f>_xlfn.XLOOKUP(B40,'Format-Blr'!$B$51:$B$88,'Format-Blr'!W$51:W$88)</f>
        <v>23</v>
      </c>
      <c r="AG40" s="45">
        <f>_xlfn.XLOOKUP(B40,'Format-Blr'!$B$51:$B$88,'Format-Blr'!X$51:X$88)</f>
        <v>10</v>
      </c>
      <c r="AH40" s="45">
        <f>_xlfn.XLOOKUP(B40,'Format-Blr'!$B$51:$B$88,'Format-Blr'!AD$51:AD$88)</f>
        <v>0</v>
      </c>
      <c r="AI40" s="45">
        <f>_xlfn.XLOOKUP(B40,'Format-Blr'!$B$51:$B$88,'Format-Blr'!AE$51:AE$88)</f>
        <v>0</v>
      </c>
      <c r="AJ40" s="45">
        <f>_xlfn.XLOOKUP(B40,'Format-Blr'!$B$51:$B$88,'Format-Blr'!AK$51:AK$88)</f>
        <v>0</v>
      </c>
      <c r="AK40" s="45">
        <f>_xlfn.XLOOKUP(B40,'Format-Blr'!$B$51:$B$88,'Format-Blr'!AL$51:AL$88)</f>
        <v>0</v>
      </c>
      <c r="AL40" s="45">
        <f>_xlfn.XLOOKUP(B40,'Format-Blr'!$B$51:$B$88,'Format-Blr'!AR$51:AR$88)</f>
        <v>81</v>
      </c>
      <c r="AM40" s="45">
        <f>_xlfn.XLOOKUP(B40,'Format-Blr'!$B$51:$B$88,'Format-Blr'!AS$51:AS$88)</f>
        <v>35</v>
      </c>
      <c r="AN40" s="45">
        <f>_xlfn.XLOOKUP(B40,'Format-Blr'!$B$51:$B$88,'Format-Blr'!AY$51:AY$88)</f>
        <v>7</v>
      </c>
      <c r="AO40" s="45">
        <f>_xlfn.XLOOKUP(B40,'Format-Blr'!$B$51:$B$88,'Format-Blr'!AZ$51:AZ$88)</f>
        <v>4</v>
      </c>
      <c r="AP40" s="45">
        <f>_xlfn.XLOOKUP(B40,'Format-Blr'!$B$51:$B$88,'Format-Blr'!BF$51:BF$88)</f>
        <v>0</v>
      </c>
      <c r="AQ40" s="45">
        <f>_xlfn.XLOOKUP(B40,'Format-Blr'!$B$51:$B$88,'Format-Blr'!BG$51:BG$88)</f>
        <v>0</v>
      </c>
      <c r="AR40" s="45">
        <f>_xlfn.XLOOKUP(B40,'Format-Blr'!$B$51:$B$88,'Format-Blr'!BM$51:BM$88)</f>
        <v>57</v>
      </c>
      <c r="AS40" s="45">
        <f>_xlfn.XLOOKUP(B40,'Format-Blr'!$B$51:$B$88,'Format-Blr'!BN$51:BN$88)</f>
        <v>37</v>
      </c>
      <c r="AT40" s="45">
        <f>_xlfn.XLOOKUP(B40,'Format-Blr'!$B$51:$B$88,'Format-Blr'!BT$51:BT$88)</f>
        <v>25</v>
      </c>
      <c r="AU40" s="45">
        <f>_xlfn.XLOOKUP(B40,'Format-Blr'!$B$51:$B$88,'Format-Blr'!BU$51:BU$88)</f>
        <v>5</v>
      </c>
      <c r="AV40" s="34">
        <f t="shared" si="4"/>
        <v>193</v>
      </c>
      <c r="AW40" s="34">
        <f t="shared" si="5"/>
        <v>91</v>
      </c>
      <c r="AX40" s="38">
        <f t="shared" si="6"/>
        <v>47.150259067357517</v>
      </c>
      <c r="AY40" s="37">
        <f>_xlfn.XLOOKUP(B40,'Format-Blr'!B$51:B$88,'Format-Blr'!CF$51:CF$88)</f>
        <v>10</v>
      </c>
      <c r="AZ40" s="34">
        <f>_xlfn.XLOOKUP(B40,'Format-Blr'!B$51:B$88,'Format-Blr'!CG$51:CG$88)</f>
        <v>10</v>
      </c>
      <c r="BA40" s="35">
        <f t="shared" si="7"/>
        <v>100</v>
      </c>
      <c r="BB40" s="37">
        <f>_xlfn.XLOOKUP(B40,'Format-Blr'!$B$7:$B$44,'Format-Blr'!CF$7:CF$44)</f>
        <v>0</v>
      </c>
      <c r="BC40" s="34">
        <f>_xlfn.XLOOKUP(B40,'Format-Blr'!$B$7:$B$44,'Format-Blr'!CG$7:CG$44)</f>
        <v>0</v>
      </c>
      <c r="BD40" s="34">
        <f>_xlfn.XLOOKUP(B40,'Format-Blr'!$B$7:$B$44,'Format-Blr'!CI$7:CI$44)</f>
        <v>0</v>
      </c>
      <c r="BE40" s="34">
        <f>_xlfn.XLOOKUP(B40,'Format-Blr'!$B$7:$B$44,'Format-Blr'!CJ$7:CJ$44)</f>
        <v>0</v>
      </c>
      <c r="BF40" s="34">
        <f>_xlfn.XLOOKUP(B40,'Format-Blr'!$B$7:$B$44,'Format-Blr'!CL$7:CL$44)</f>
        <v>0</v>
      </c>
      <c r="BG40" s="34">
        <f>_xlfn.XLOOKUP(B40,'Format-Blr'!$B$7:$B$44,'Format-Blr'!CM$7:CM$44)</f>
        <v>0</v>
      </c>
      <c r="BH40" s="34">
        <f>_xlfn.XLOOKUP(B40,'Format-Blr'!$B$7:$B$44,'Format-Blr'!CO$7:CO$44)</f>
        <v>0</v>
      </c>
      <c r="BI40" s="52">
        <f>_xlfn.XLOOKUP(B40,'Format-Blr'!$B$7:$B$44,'Format-Blr'!CP$7:CP$44)</f>
        <v>0</v>
      </c>
      <c r="BJ40" s="37">
        <f t="shared" si="13"/>
        <v>0</v>
      </c>
      <c r="BK40" s="34">
        <f t="shared" si="8"/>
        <v>0</v>
      </c>
      <c r="BL40" s="38" t="e">
        <f t="shared" si="9"/>
        <v>#DIV/0!</v>
      </c>
      <c r="BN40" s="37">
        <f t="shared" si="10"/>
        <v>353</v>
      </c>
      <c r="BO40" s="34">
        <f t="shared" si="11"/>
        <v>222</v>
      </c>
      <c r="BP40" s="38">
        <f t="shared" si="12"/>
        <v>62.889518413597735</v>
      </c>
    </row>
    <row r="41" spans="1:68" s="9" customFormat="1" ht="21" customHeight="1" x14ac:dyDescent="0.25">
      <c r="A41" s="46" t="s">
        <v>39</v>
      </c>
      <c r="B41" s="56" t="s">
        <v>39</v>
      </c>
      <c r="C41" s="48" t="s">
        <v>15</v>
      </c>
      <c r="D41" s="49" t="s">
        <v>16</v>
      </c>
      <c r="E41" s="44">
        <f>_xlfn.XLOOKUP(B41,'Format-Blr'!$B$7:$B$44,'Format-Blr'!I$7:I$44)</f>
        <v>0</v>
      </c>
      <c r="F41" s="45">
        <f>_xlfn.XLOOKUP(B41,'Format-Blr'!$B$7:$B$44,'Format-Blr'!J$7:J$44)</f>
        <v>0</v>
      </c>
      <c r="G41" s="45">
        <f>_xlfn.XLOOKUP(B41,'Format-Blr'!$B$7:$B$44,'Format-Blr'!P$7:P$44)</f>
        <v>0</v>
      </c>
      <c r="H41" s="45">
        <f>_xlfn.XLOOKUP(B41,'Format-Blr'!$B$7:$B$44,'Format-Blr'!Q$7:Q$44)</f>
        <v>0</v>
      </c>
      <c r="I41" s="45">
        <f>_xlfn.XLOOKUP(B41,'Format-Blr'!$B$7:$B$44,'Format-Blr'!W$7:W$44)</f>
        <v>32</v>
      </c>
      <c r="J41" s="45">
        <f>_xlfn.XLOOKUP(B41,'Format-Blr'!$B$7:$B$44,'Format-Blr'!X$7:X$44)</f>
        <v>27</v>
      </c>
      <c r="K41" s="45">
        <f>_xlfn.XLOOKUP(B41,'Format-Blr'!$B$7:$B$44,'Format-Blr'!AD$7:AD$44)</f>
        <v>0</v>
      </c>
      <c r="L41" s="45">
        <f>_xlfn.XLOOKUP(B41,'Format-Blr'!$B$7:$B$44,'Format-Blr'!AE$7:AE$44)</f>
        <v>0</v>
      </c>
      <c r="M41" s="45">
        <f>_xlfn.XLOOKUP(B41,'Format-Blr'!$B$7:$B$44,'Format-Blr'!AK$7:AK$44)</f>
        <v>0</v>
      </c>
      <c r="N41" s="45">
        <f>_xlfn.XLOOKUP(B41,'Format-Blr'!$B$7:$B$44,'Format-Blr'!AL$7:AL$44)</f>
        <v>0</v>
      </c>
      <c r="O41" s="45">
        <f>_xlfn.XLOOKUP(B41,'Format-Blr'!$B$7:$B$44,'Format-Blr'!AR$7:AR$44)</f>
        <v>37</v>
      </c>
      <c r="P41" s="45">
        <f>_xlfn.XLOOKUP(B41,'Format-Blr'!$B$7:$B$44,'Format-Blr'!AS$7:AS$44)</f>
        <v>30</v>
      </c>
      <c r="Q41" s="45">
        <f>_xlfn.XLOOKUP(B41,'Format-Blr'!$B$7:$B$44,'Format-Blr'!AY$7:AY$44)</f>
        <v>0</v>
      </c>
      <c r="R41" s="45">
        <f>_xlfn.XLOOKUP(B41,'Format-Blr'!$B$7:$B$44,'Format-Blr'!AZ$7:AZ$44)</f>
        <v>0</v>
      </c>
      <c r="S41" s="45">
        <f>_xlfn.XLOOKUP(B41,'Format-Blr'!$B$7:$B$44,'Format-Blr'!BF$7:BF$44)</f>
        <v>44</v>
      </c>
      <c r="T41" s="45">
        <f>_xlfn.XLOOKUP(B41,'Format-Blr'!$B$7:$B$44,'Format-Blr'!BG$7:BG$44)</f>
        <v>38</v>
      </c>
      <c r="U41" s="45">
        <f>_xlfn.XLOOKUP(B41,'Format-Blr'!$B$7:$B$44,'Format-Blr'!BM$7:BM$44)</f>
        <v>24</v>
      </c>
      <c r="V41" s="45">
        <f>_xlfn.XLOOKUP(B41,'Format-Blr'!$B$7:$B$44,'Format-Blr'!BN$7:BN$44)</f>
        <v>19</v>
      </c>
      <c r="W41" s="45">
        <f>_xlfn.XLOOKUP(B41,'Format-Blr'!$B$7:$B$44,'Format-Blr'!BT$7:BT$44)</f>
        <v>0</v>
      </c>
      <c r="X41" s="45">
        <f>_xlfn.XLOOKUP(B41,'Format-Blr'!$B$7:$B$44,'Format-Blr'!BU$7:BU$44)</f>
        <v>0</v>
      </c>
      <c r="Y41" s="34">
        <f t="shared" si="1"/>
        <v>137</v>
      </c>
      <c r="Z41" s="34">
        <f t="shared" si="2"/>
        <v>114</v>
      </c>
      <c r="AA41" s="38">
        <f t="shared" si="3"/>
        <v>83.211678832116789</v>
      </c>
      <c r="AB41" s="44">
        <f>_xlfn.XLOOKUP(B41,'Format-Blr'!$B$51:$B$88,'Format-Blr'!I$51:I$88)</f>
        <v>0</v>
      </c>
      <c r="AC41" s="45">
        <f>_xlfn.XLOOKUP(B41,'Format-Blr'!$B$51:$B$88,'Format-Blr'!J$51:J$88)</f>
        <v>0</v>
      </c>
      <c r="AD41" s="45">
        <f>_xlfn.XLOOKUP(B41,'Format-Blr'!$B$51:$B$88,'Format-Blr'!P$51:P$88)</f>
        <v>0</v>
      </c>
      <c r="AE41" s="45">
        <f>_xlfn.XLOOKUP(B41,'Format-Blr'!$B$51:$B$88,'Format-Blr'!Q$51:Q$88)</f>
        <v>0</v>
      </c>
      <c r="AF41" s="45">
        <f>_xlfn.XLOOKUP(B41,'Format-Blr'!$B$51:$B$88,'Format-Blr'!W$51:W$88)</f>
        <v>24</v>
      </c>
      <c r="AG41" s="45">
        <f>_xlfn.XLOOKUP(B41,'Format-Blr'!$B$51:$B$88,'Format-Blr'!X$51:X$88)</f>
        <v>0</v>
      </c>
      <c r="AH41" s="45">
        <f>_xlfn.XLOOKUP(B41,'Format-Blr'!$B$51:$B$88,'Format-Blr'!AD$51:AD$88)</f>
        <v>0</v>
      </c>
      <c r="AI41" s="45">
        <f>_xlfn.XLOOKUP(B41,'Format-Blr'!$B$51:$B$88,'Format-Blr'!AE$51:AE$88)</f>
        <v>0</v>
      </c>
      <c r="AJ41" s="45">
        <f>_xlfn.XLOOKUP(B41,'Format-Blr'!$B$51:$B$88,'Format-Blr'!AK$51:AK$88)</f>
        <v>0</v>
      </c>
      <c r="AK41" s="45">
        <f>_xlfn.XLOOKUP(B41,'Format-Blr'!$B$51:$B$88,'Format-Blr'!AL$51:AL$88)</f>
        <v>0</v>
      </c>
      <c r="AL41" s="45">
        <f>_xlfn.XLOOKUP(B41,'Format-Blr'!$B$51:$B$88,'Format-Blr'!AR$51:AR$88)</f>
        <v>35</v>
      </c>
      <c r="AM41" s="45">
        <f>_xlfn.XLOOKUP(B41,'Format-Blr'!$B$51:$B$88,'Format-Blr'!AS$51:AS$88)</f>
        <v>0</v>
      </c>
      <c r="AN41" s="45">
        <f>_xlfn.XLOOKUP(B41,'Format-Blr'!$B$51:$B$88,'Format-Blr'!AY$51:AY$88)</f>
        <v>0</v>
      </c>
      <c r="AO41" s="45">
        <f>_xlfn.XLOOKUP(B41,'Format-Blr'!$B$51:$B$88,'Format-Blr'!AZ$51:AZ$88)</f>
        <v>0</v>
      </c>
      <c r="AP41" s="45">
        <f>_xlfn.XLOOKUP(B41,'Format-Blr'!$B$51:$B$88,'Format-Blr'!BF$51:BF$88)</f>
        <v>49</v>
      </c>
      <c r="AQ41" s="45">
        <f>_xlfn.XLOOKUP(B41,'Format-Blr'!$B$51:$B$88,'Format-Blr'!BG$51:BG$88)</f>
        <v>0</v>
      </c>
      <c r="AR41" s="45">
        <f>_xlfn.XLOOKUP(B41,'Format-Blr'!$B$51:$B$88,'Format-Blr'!BM$51:BM$88)</f>
        <v>15</v>
      </c>
      <c r="AS41" s="45">
        <f>_xlfn.XLOOKUP(B41,'Format-Blr'!$B$51:$B$88,'Format-Blr'!BN$51:BN$88)</f>
        <v>0</v>
      </c>
      <c r="AT41" s="45">
        <f>_xlfn.XLOOKUP(B41,'Format-Blr'!$B$51:$B$88,'Format-Blr'!BT$51:BT$88)</f>
        <v>0</v>
      </c>
      <c r="AU41" s="45">
        <f>_xlfn.XLOOKUP(B41,'Format-Blr'!$B$51:$B$88,'Format-Blr'!BU$51:BU$88)</f>
        <v>0</v>
      </c>
      <c r="AV41" s="34">
        <f t="shared" si="4"/>
        <v>123</v>
      </c>
      <c r="AW41" s="34">
        <f t="shared" si="5"/>
        <v>0</v>
      </c>
      <c r="AX41" s="38">
        <f t="shared" si="6"/>
        <v>0</v>
      </c>
      <c r="AY41" s="37">
        <f>_xlfn.XLOOKUP(B41,'Format-Blr'!B$51:B$88,'Format-Blr'!CF$51:CF$88)</f>
        <v>0</v>
      </c>
      <c r="AZ41" s="34">
        <f>_xlfn.XLOOKUP(B41,'Format-Blr'!B$51:B$88,'Format-Blr'!CG$51:CG$88)</f>
        <v>0</v>
      </c>
      <c r="BA41" s="35" t="e">
        <f t="shared" si="7"/>
        <v>#DIV/0!</v>
      </c>
      <c r="BB41" s="37">
        <f>_xlfn.XLOOKUP(B41,'Format-Blr'!$B$7:$B$44,'Format-Blr'!CF$7:CF$44)</f>
        <v>0</v>
      </c>
      <c r="BC41" s="34">
        <f>_xlfn.XLOOKUP(B41,'Format-Blr'!$B$7:$B$44,'Format-Blr'!CG$7:CG$44)</f>
        <v>0</v>
      </c>
      <c r="BD41" s="34">
        <f>_xlfn.XLOOKUP(B41,'Format-Blr'!$B$7:$B$44,'Format-Blr'!CI$7:CI$44)</f>
        <v>0</v>
      </c>
      <c r="BE41" s="34">
        <f>_xlfn.XLOOKUP(B41,'Format-Blr'!$B$7:$B$44,'Format-Blr'!CJ$7:CJ$44)</f>
        <v>0</v>
      </c>
      <c r="BF41" s="34">
        <f>_xlfn.XLOOKUP(B41,'Format-Blr'!$B$7:$B$44,'Format-Blr'!CL$7:CL$44)</f>
        <v>0</v>
      </c>
      <c r="BG41" s="34">
        <f>_xlfn.XLOOKUP(B41,'Format-Blr'!$B$7:$B$44,'Format-Blr'!CM$7:CM$44)</f>
        <v>0</v>
      </c>
      <c r="BH41" s="34">
        <f>_xlfn.XLOOKUP(B41,'Format-Blr'!$B$7:$B$44,'Format-Blr'!CO$7:CO$44)</f>
        <v>0</v>
      </c>
      <c r="BI41" s="52">
        <f>_xlfn.XLOOKUP(B41,'Format-Blr'!$B$7:$B$44,'Format-Blr'!CP$7:CP$44)</f>
        <v>0</v>
      </c>
      <c r="BJ41" s="37">
        <f t="shared" si="13"/>
        <v>0</v>
      </c>
      <c r="BK41" s="34">
        <f t="shared" si="8"/>
        <v>0</v>
      </c>
      <c r="BL41" s="38" t="e">
        <f t="shared" si="9"/>
        <v>#DIV/0!</v>
      </c>
      <c r="BN41" s="37">
        <f t="shared" si="10"/>
        <v>260</v>
      </c>
      <c r="BO41" s="34">
        <f t="shared" si="11"/>
        <v>114</v>
      </c>
      <c r="BP41" s="38">
        <f t="shared" si="12"/>
        <v>43.846153846153847</v>
      </c>
    </row>
    <row r="42" spans="1:68" s="9" customFormat="1" ht="21" customHeight="1" x14ac:dyDescent="0.25">
      <c r="A42" s="46" t="s">
        <v>70</v>
      </c>
      <c r="B42" s="55" t="s">
        <v>70</v>
      </c>
      <c r="C42" s="48" t="s">
        <v>15</v>
      </c>
      <c r="D42" s="49" t="s">
        <v>16</v>
      </c>
      <c r="E42" s="44">
        <f>_xlfn.XLOOKUP(B42,'Format-Blr'!$B$7:$B$44,'Format-Blr'!I$7:I$44)</f>
        <v>0</v>
      </c>
      <c r="F42" s="45">
        <f>_xlfn.XLOOKUP(B42,'Format-Blr'!$B$7:$B$44,'Format-Blr'!J$7:J$44)</f>
        <v>0</v>
      </c>
      <c r="G42" s="45">
        <f>_xlfn.XLOOKUP(B42,'Format-Blr'!$B$7:$B$44,'Format-Blr'!P$7:P$44)</f>
        <v>0</v>
      </c>
      <c r="H42" s="45">
        <f>_xlfn.XLOOKUP(B42,'Format-Blr'!$B$7:$B$44,'Format-Blr'!Q$7:Q$44)</f>
        <v>0</v>
      </c>
      <c r="I42" s="45">
        <f>_xlfn.XLOOKUP(B42,'Format-Blr'!$B$7:$B$44,'Format-Blr'!W$7:W$44)</f>
        <v>0</v>
      </c>
      <c r="J42" s="45">
        <f>_xlfn.XLOOKUP(B42,'Format-Blr'!$B$7:$B$44,'Format-Blr'!X$7:X$44)</f>
        <v>0</v>
      </c>
      <c r="K42" s="45">
        <f>_xlfn.XLOOKUP(B42,'Format-Blr'!$B$7:$B$44,'Format-Blr'!AD$7:AD$44)</f>
        <v>0</v>
      </c>
      <c r="L42" s="45">
        <f>_xlfn.XLOOKUP(B42,'Format-Blr'!$B$7:$B$44,'Format-Blr'!AE$7:AE$44)</f>
        <v>0</v>
      </c>
      <c r="M42" s="45">
        <f>_xlfn.XLOOKUP(B42,'Format-Blr'!$B$7:$B$44,'Format-Blr'!AK$7:AK$44)</f>
        <v>0</v>
      </c>
      <c r="N42" s="45">
        <f>_xlfn.XLOOKUP(B42,'Format-Blr'!$B$7:$B$44,'Format-Blr'!AL$7:AL$44)</f>
        <v>0</v>
      </c>
      <c r="O42" s="45">
        <f>_xlfn.XLOOKUP(B42,'Format-Blr'!$B$7:$B$44,'Format-Blr'!AR$7:AR$44)</f>
        <v>71</v>
      </c>
      <c r="P42" s="45">
        <f>_xlfn.XLOOKUP(B42,'Format-Blr'!$B$7:$B$44,'Format-Blr'!AS$7:AS$44)</f>
        <v>61</v>
      </c>
      <c r="Q42" s="45">
        <f>_xlfn.XLOOKUP(B42,'Format-Blr'!$B$7:$B$44,'Format-Blr'!AY$7:AY$44)</f>
        <v>0</v>
      </c>
      <c r="R42" s="45">
        <f>_xlfn.XLOOKUP(B42,'Format-Blr'!$B$7:$B$44,'Format-Blr'!AZ$7:AZ$44)</f>
        <v>0</v>
      </c>
      <c r="S42" s="45">
        <f>_xlfn.XLOOKUP(B42,'Format-Blr'!$B$7:$B$44,'Format-Blr'!BF$7:BF$44)</f>
        <v>46</v>
      </c>
      <c r="T42" s="45">
        <f>_xlfn.XLOOKUP(B42,'Format-Blr'!$B$7:$B$44,'Format-Blr'!BG$7:BG$44)</f>
        <v>40</v>
      </c>
      <c r="U42" s="45">
        <f>_xlfn.XLOOKUP(B42,'Format-Blr'!$B$7:$B$44,'Format-Blr'!BM$7:BM$44)</f>
        <v>0</v>
      </c>
      <c r="V42" s="45">
        <f>_xlfn.XLOOKUP(B42,'Format-Blr'!$B$7:$B$44,'Format-Blr'!BN$7:BN$44)</f>
        <v>0</v>
      </c>
      <c r="W42" s="45">
        <f>_xlfn.XLOOKUP(B42,'Format-Blr'!$B$7:$B$44,'Format-Blr'!BT$7:BT$44)</f>
        <v>0</v>
      </c>
      <c r="X42" s="45">
        <f>_xlfn.XLOOKUP(B42,'Format-Blr'!$B$7:$B$44,'Format-Blr'!BU$7:BU$44)</f>
        <v>0</v>
      </c>
      <c r="Y42" s="34">
        <f t="shared" si="1"/>
        <v>117</v>
      </c>
      <c r="Z42" s="34">
        <f t="shared" si="2"/>
        <v>101</v>
      </c>
      <c r="AA42" s="38">
        <f t="shared" si="3"/>
        <v>86.324786324786331</v>
      </c>
      <c r="AB42" s="44">
        <f>_xlfn.XLOOKUP(B42,'Format-Blr'!$B$51:$B$88,'Format-Blr'!I$51:I$88)</f>
        <v>0</v>
      </c>
      <c r="AC42" s="45">
        <f>_xlfn.XLOOKUP(B42,'Format-Blr'!$B$51:$B$88,'Format-Blr'!J$51:J$88)</f>
        <v>0</v>
      </c>
      <c r="AD42" s="45">
        <f>_xlfn.XLOOKUP(B42,'Format-Blr'!$B$51:$B$88,'Format-Blr'!P$51:P$88)</f>
        <v>0</v>
      </c>
      <c r="AE42" s="45">
        <f>_xlfn.XLOOKUP(B42,'Format-Blr'!$B$51:$B$88,'Format-Blr'!Q$51:Q$88)</f>
        <v>0</v>
      </c>
      <c r="AF42" s="45">
        <f>_xlfn.XLOOKUP(B42,'Format-Blr'!$B$51:$B$88,'Format-Blr'!W$51:W$88)</f>
        <v>0</v>
      </c>
      <c r="AG42" s="45">
        <f>_xlfn.XLOOKUP(B42,'Format-Blr'!$B$51:$B$88,'Format-Blr'!X$51:X$88)</f>
        <v>0</v>
      </c>
      <c r="AH42" s="45">
        <f>_xlfn.XLOOKUP(B42,'Format-Blr'!$B$51:$B$88,'Format-Blr'!AD$51:AD$88)</f>
        <v>0</v>
      </c>
      <c r="AI42" s="45">
        <f>_xlfn.XLOOKUP(B42,'Format-Blr'!$B$51:$B$88,'Format-Blr'!AE$51:AE$88)</f>
        <v>0</v>
      </c>
      <c r="AJ42" s="45">
        <f>_xlfn.XLOOKUP(B42,'Format-Blr'!$B$51:$B$88,'Format-Blr'!AK$51:AK$88)</f>
        <v>0</v>
      </c>
      <c r="AK42" s="45">
        <f>_xlfn.XLOOKUP(B42,'Format-Blr'!$B$51:$B$88,'Format-Blr'!AL$51:AL$88)</f>
        <v>0</v>
      </c>
      <c r="AL42" s="45">
        <f>_xlfn.XLOOKUP(B42,'Format-Blr'!$B$51:$B$88,'Format-Blr'!AR$51:AR$88)</f>
        <v>0</v>
      </c>
      <c r="AM42" s="45">
        <f>_xlfn.XLOOKUP(B42,'Format-Blr'!$B$51:$B$88,'Format-Blr'!AS$51:AS$88)</f>
        <v>0</v>
      </c>
      <c r="AN42" s="45">
        <f>_xlfn.XLOOKUP(B42,'Format-Blr'!$B$51:$B$88,'Format-Blr'!AY$51:AY$88)</f>
        <v>0</v>
      </c>
      <c r="AO42" s="45">
        <f>_xlfn.XLOOKUP(B42,'Format-Blr'!$B$51:$B$88,'Format-Blr'!AZ$51:AZ$88)</f>
        <v>0</v>
      </c>
      <c r="AP42" s="45">
        <f>_xlfn.XLOOKUP(B42,'Format-Blr'!$B$51:$B$88,'Format-Blr'!BF$51:BF$88)</f>
        <v>0</v>
      </c>
      <c r="AQ42" s="45">
        <f>_xlfn.XLOOKUP(B42,'Format-Blr'!$B$51:$B$88,'Format-Blr'!BG$51:BG$88)</f>
        <v>0</v>
      </c>
      <c r="AR42" s="45">
        <f>_xlfn.XLOOKUP(B42,'Format-Blr'!$B$51:$B$88,'Format-Blr'!BM$51:BM$88)</f>
        <v>0</v>
      </c>
      <c r="AS42" s="45">
        <f>_xlfn.XLOOKUP(B42,'Format-Blr'!$B$51:$B$88,'Format-Blr'!BN$51:BN$88)</f>
        <v>0</v>
      </c>
      <c r="AT42" s="45">
        <f>_xlfn.XLOOKUP(B42,'Format-Blr'!$B$51:$B$88,'Format-Blr'!BT$51:BT$88)</f>
        <v>0</v>
      </c>
      <c r="AU42" s="45">
        <f>_xlfn.XLOOKUP(B42,'Format-Blr'!$B$51:$B$88,'Format-Blr'!BU$51:BU$88)</f>
        <v>0</v>
      </c>
      <c r="AV42" s="34">
        <f t="shared" si="4"/>
        <v>0</v>
      </c>
      <c r="AW42" s="34">
        <f t="shared" si="5"/>
        <v>0</v>
      </c>
      <c r="AX42" s="38" t="e">
        <f t="shared" si="6"/>
        <v>#DIV/0!</v>
      </c>
      <c r="AY42" s="37">
        <f>_xlfn.XLOOKUP(B42,'Format-Blr'!B$51:B$88,'Format-Blr'!CF$51:CF$88)</f>
        <v>0</v>
      </c>
      <c r="AZ42" s="34">
        <f>_xlfn.XLOOKUP(B42,'Format-Blr'!B$51:B$88,'Format-Blr'!CG$51:CG$88)</f>
        <v>0</v>
      </c>
      <c r="BA42" s="35" t="e">
        <f t="shared" si="7"/>
        <v>#DIV/0!</v>
      </c>
      <c r="BB42" s="37">
        <f>_xlfn.XLOOKUP(B42,'Format-Blr'!$B$7:$B$44,'Format-Blr'!CF$7:CF$44)</f>
        <v>0</v>
      </c>
      <c r="BC42" s="34">
        <f>_xlfn.XLOOKUP(B42,'Format-Blr'!$B$7:$B$44,'Format-Blr'!CG$7:CG$44)</f>
        <v>0</v>
      </c>
      <c r="BD42" s="34">
        <f>_xlfn.XLOOKUP(B42,'Format-Blr'!$B$7:$B$44,'Format-Blr'!CI$7:CI$44)</f>
        <v>0</v>
      </c>
      <c r="BE42" s="34">
        <f>_xlfn.XLOOKUP(B42,'Format-Blr'!$B$7:$B$44,'Format-Blr'!CJ$7:CJ$44)</f>
        <v>0</v>
      </c>
      <c r="BF42" s="34">
        <f>_xlfn.XLOOKUP(B42,'Format-Blr'!$B$7:$B$44,'Format-Blr'!CL$7:CL$44)</f>
        <v>0</v>
      </c>
      <c r="BG42" s="34">
        <f>_xlfn.XLOOKUP(B42,'Format-Blr'!$B$7:$B$44,'Format-Blr'!CM$7:CM$44)</f>
        <v>0</v>
      </c>
      <c r="BH42" s="34">
        <f>_xlfn.XLOOKUP(B42,'Format-Blr'!$B$7:$B$44,'Format-Blr'!CO$7:CO$44)</f>
        <v>0</v>
      </c>
      <c r="BI42" s="52">
        <f>_xlfn.XLOOKUP(B42,'Format-Blr'!$B$7:$B$44,'Format-Blr'!CP$7:CP$44)</f>
        <v>0</v>
      </c>
      <c r="BJ42" s="37">
        <f t="shared" si="13"/>
        <v>0</v>
      </c>
      <c r="BK42" s="34">
        <f t="shared" si="8"/>
        <v>0</v>
      </c>
      <c r="BL42" s="38" t="e">
        <f t="shared" si="9"/>
        <v>#DIV/0!</v>
      </c>
      <c r="BN42" s="37">
        <f t="shared" si="10"/>
        <v>117</v>
      </c>
      <c r="BO42" s="34">
        <f t="shared" si="11"/>
        <v>101</v>
      </c>
      <c r="BP42" s="38">
        <f t="shared" si="12"/>
        <v>86.324786324786331</v>
      </c>
    </row>
    <row r="43" spans="1:68" s="9" customFormat="1" ht="21" customHeight="1" x14ac:dyDescent="0.25">
      <c r="A43" s="46" t="s">
        <v>73</v>
      </c>
      <c r="B43" s="55" t="s">
        <v>73</v>
      </c>
      <c r="C43" s="48" t="s">
        <v>15</v>
      </c>
      <c r="D43" s="49" t="s">
        <v>16</v>
      </c>
      <c r="E43" s="44">
        <f>_xlfn.XLOOKUP(B43,'Format-Blr'!$B$7:$B$44,'Format-Blr'!I$7:I$44)</f>
        <v>0</v>
      </c>
      <c r="F43" s="45">
        <f>_xlfn.XLOOKUP(B43,'Format-Blr'!$B$7:$B$44,'Format-Blr'!J$7:J$44)</f>
        <v>0</v>
      </c>
      <c r="G43" s="45">
        <f>_xlfn.XLOOKUP(B43,'Format-Blr'!$B$7:$B$44,'Format-Blr'!P$7:P$44)</f>
        <v>0</v>
      </c>
      <c r="H43" s="45">
        <f>_xlfn.XLOOKUP(B43,'Format-Blr'!$B$7:$B$44,'Format-Blr'!Q$7:Q$44)</f>
        <v>0</v>
      </c>
      <c r="I43" s="45">
        <f>_xlfn.XLOOKUP(B43,'Format-Blr'!$B$7:$B$44,'Format-Blr'!W$7:W$44)</f>
        <v>0</v>
      </c>
      <c r="J43" s="45">
        <f>_xlfn.XLOOKUP(B43,'Format-Blr'!$B$7:$B$44,'Format-Blr'!X$7:X$44)</f>
        <v>0</v>
      </c>
      <c r="K43" s="45">
        <f>_xlfn.XLOOKUP(B43,'Format-Blr'!$B$7:$B$44,'Format-Blr'!AD$7:AD$44)</f>
        <v>0</v>
      </c>
      <c r="L43" s="45">
        <f>_xlfn.XLOOKUP(B43,'Format-Blr'!$B$7:$B$44,'Format-Blr'!AE$7:AE$44)</f>
        <v>0</v>
      </c>
      <c r="M43" s="45">
        <f>_xlfn.XLOOKUP(B43,'Format-Blr'!$B$7:$B$44,'Format-Blr'!AK$7:AK$44)</f>
        <v>10</v>
      </c>
      <c r="N43" s="45">
        <f>_xlfn.XLOOKUP(B43,'Format-Blr'!$B$7:$B$44,'Format-Blr'!AL$7:AL$44)</f>
        <v>10</v>
      </c>
      <c r="O43" s="45">
        <f>_xlfn.XLOOKUP(B43,'Format-Blr'!$B$7:$B$44,'Format-Blr'!AR$7:AR$44)</f>
        <v>12</v>
      </c>
      <c r="P43" s="45">
        <f>_xlfn.XLOOKUP(B43,'Format-Blr'!$B$7:$B$44,'Format-Blr'!AS$7:AS$44)</f>
        <v>8</v>
      </c>
      <c r="Q43" s="45">
        <f>_xlfn.XLOOKUP(B43,'Format-Blr'!$B$7:$B$44,'Format-Blr'!AY$7:AY$44)</f>
        <v>0</v>
      </c>
      <c r="R43" s="45">
        <f>_xlfn.XLOOKUP(B43,'Format-Blr'!$B$7:$B$44,'Format-Blr'!AZ$7:AZ$44)</f>
        <v>0</v>
      </c>
      <c r="S43" s="45">
        <f>_xlfn.XLOOKUP(B43,'Format-Blr'!$B$7:$B$44,'Format-Blr'!BF$7:BF$44)</f>
        <v>0</v>
      </c>
      <c r="T43" s="45">
        <f>_xlfn.XLOOKUP(B43,'Format-Blr'!$B$7:$B$44,'Format-Blr'!BG$7:BG$44)</f>
        <v>0</v>
      </c>
      <c r="U43" s="45">
        <f>_xlfn.XLOOKUP(B43,'Format-Blr'!$B$7:$B$44,'Format-Blr'!BM$7:BM$44)</f>
        <v>27</v>
      </c>
      <c r="V43" s="45">
        <f>_xlfn.XLOOKUP(B43,'Format-Blr'!$B$7:$B$44,'Format-Blr'!BN$7:BN$44)</f>
        <v>21</v>
      </c>
      <c r="W43" s="45">
        <f>_xlfn.XLOOKUP(B43,'Format-Blr'!$B$7:$B$44,'Format-Blr'!BT$7:BT$44)</f>
        <v>14</v>
      </c>
      <c r="X43" s="45">
        <f>_xlfn.XLOOKUP(B43,'Format-Blr'!$B$7:$B$44,'Format-Blr'!BU$7:BU$44)</f>
        <v>11</v>
      </c>
      <c r="Y43" s="34">
        <f t="shared" si="1"/>
        <v>63</v>
      </c>
      <c r="Z43" s="34">
        <f t="shared" si="2"/>
        <v>50</v>
      </c>
      <c r="AA43" s="38">
        <f t="shared" si="3"/>
        <v>79.365079365079367</v>
      </c>
      <c r="AB43" s="44">
        <f>_xlfn.XLOOKUP(B43,'Format-Blr'!$B$51:$B$88,'Format-Blr'!I$51:I$88)</f>
        <v>0</v>
      </c>
      <c r="AC43" s="45">
        <f>_xlfn.XLOOKUP(B43,'Format-Blr'!$B$51:$B$88,'Format-Blr'!J$51:J$88)</f>
        <v>0</v>
      </c>
      <c r="AD43" s="45">
        <f>_xlfn.XLOOKUP(B43,'Format-Blr'!$B$51:$B$88,'Format-Blr'!P$51:P$88)</f>
        <v>0</v>
      </c>
      <c r="AE43" s="45">
        <f>_xlfn.XLOOKUP(B43,'Format-Blr'!$B$51:$B$88,'Format-Blr'!Q$51:Q$88)</f>
        <v>0</v>
      </c>
      <c r="AF43" s="45">
        <f>_xlfn.XLOOKUP(B43,'Format-Blr'!$B$51:$B$88,'Format-Blr'!W$51:W$88)</f>
        <v>0</v>
      </c>
      <c r="AG43" s="45">
        <f>_xlfn.XLOOKUP(B43,'Format-Blr'!$B$51:$B$88,'Format-Blr'!X$51:X$88)</f>
        <v>0</v>
      </c>
      <c r="AH43" s="45">
        <f>_xlfn.XLOOKUP(B43,'Format-Blr'!$B$51:$B$88,'Format-Blr'!AD$51:AD$88)</f>
        <v>0</v>
      </c>
      <c r="AI43" s="45">
        <f>_xlfn.XLOOKUP(B43,'Format-Blr'!$B$51:$B$88,'Format-Blr'!AE$51:AE$88)</f>
        <v>0</v>
      </c>
      <c r="AJ43" s="45">
        <f>_xlfn.XLOOKUP(B43,'Format-Blr'!$B$51:$B$88,'Format-Blr'!AK$51:AK$88)</f>
        <v>0</v>
      </c>
      <c r="AK43" s="45">
        <f>_xlfn.XLOOKUP(B43,'Format-Blr'!$B$51:$B$88,'Format-Blr'!AL$51:AL$88)</f>
        <v>0</v>
      </c>
      <c r="AL43" s="45">
        <f>_xlfn.XLOOKUP(B43,'Format-Blr'!$B$51:$B$88,'Format-Blr'!AR$51:AR$88)</f>
        <v>0</v>
      </c>
      <c r="AM43" s="45">
        <f>_xlfn.XLOOKUP(B43,'Format-Blr'!$B$51:$B$88,'Format-Blr'!AS$51:AS$88)</f>
        <v>0</v>
      </c>
      <c r="AN43" s="45">
        <f>_xlfn.XLOOKUP(B43,'Format-Blr'!$B$51:$B$88,'Format-Blr'!AY$51:AY$88)</f>
        <v>0</v>
      </c>
      <c r="AO43" s="45">
        <f>_xlfn.XLOOKUP(B43,'Format-Blr'!$B$51:$B$88,'Format-Blr'!AZ$51:AZ$88)</f>
        <v>0</v>
      </c>
      <c r="AP43" s="45">
        <f>_xlfn.XLOOKUP(B43,'Format-Blr'!$B$51:$B$88,'Format-Blr'!BF$51:BF$88)</f>
        <v>0</v>
      </c>
      <c r="AQ43" s="45">
        <f>_xlfn.XLOOKUP(B43,'Format-Blr'!$B$51:$B$88,'Format-Blr'!BG$51:BG$88)</f>
        <v>0</v>
      </c>
      <c r="AR43" s="45">
        <f>_xlfn.XLOOKUP(B43,'Format-Blr'!$B$51:$B$88,'Format-Blr'!BM$51:BM$88)</f>
        <v>0</v>
      </c>
      <c r="AS43" s="45">
        <f>_xlfn.XLOOKUP(B43,'Format-Blr'!$B$51:$B$88,'Format-Blr'!BN$51:BN$88)</f>
        <v>0</v>
      </c>
      <c r="AT43" s="45">
        <f>_xlfn.XLOOKUP(B43,'Format-Blr'!$B$51:$B$88,'Format-Blr'!BT$51:BT$88)</f>
        <v>0</v>
      </c>
      <c r="AU43" s="45">
        <f>_xlfn.XLOOKUP(B43,'Format-Blr'!$B$51:$B$88,'Format-Blr'!BU$51:BU$88)</f>
        <v>0</v>
      </c>
      <c r="AV43" s="34">
        <f t="shared" si="4"/>
        <v>0</v>
      </c>
      <c r="AW43" s="34">
        <f t="shared" si="5"/>
        <v>0</v>
      </c>
      <c r="AX43" s="38" t="e">
        <f t="shared" si="6"/>
        <v>#DIV/0!</v>
      </c>
      <c r="AY43" s="37">
        <f>_xlfn.XLOOKUP(B43,'Format-Blr'!B$51:B$88,'Format-Blr'!CF$51:CF$88)</f>
        <v>0</v>
      </c>
      <c r="AZ43" s="34">
        <f>_xlfn.XLOOKUP(B43,'Format-Blr'!B$51:B$88,'Format-Blr'!CG$51:CG$88)</f>
        <v>0</v>
      </c>
      <c r="BA43" s="35" t="e">
        <f t="shared" si="7"/>
        <v>#DIV/0!</v>
      </c>
      <c r="BB43" s="37">
        <f>_xlfn.XLOOKUP(B43,'Format-Blr'!$B$7:$B$44,'Format-Blr'!CF$7:CF$44)</f>
        <v>0</v>
      </c>
      <c r="BC43" s="34">
        <f>_xlfn.XLOOKUP(B43,'Format-Blr'!$B$7:$B$44,'Format-Blr'!CG$7:CG$44)</f>
        <v>0</v>
      </c>
      <c r="BD43" s="34">
        <f>_xlfn.XLOOKUP(B43,'Format-Blr'!$B$7:$B$44,'Format-Blr'!CI$7:CI$44)</f>
        <v>0</v>
      </c>
      <c r="BE43" s="34">
        <f>_xlfn.XLOOKUP(B43,'Format-Blr'!$B$7:$B$44,'Format-Blr'!CJ$7:CJ$44)</f>
        <v>0</v>
      </c>
      <c r="BF43" s="34">
        <f>_xlfn.XLOOKUP(B43,'Format-Blr'!$B$7:$B$44,'Format-Blr'!CL$7:CL$44)</f>
        <v>0</v>
      </c>
      <c r="BG43" s="34">
        <f>_xlfn.XLOOKUP(B43,'Format-Blr'!$B$7:$B$44,'Format-Blr'!CM$7:CM$44)</f>
        <v>0</v>
      </c>
      <c r="BH43" s="34">
        <f>_xlfn.XLOOKUP(B43,'Format-Blr'!$B$7:$B$44,'Format-Blr'!CO$7:CO$44)</f>
        <v>0</v>
      </c>
      <c r="BI43" s="52">
        <f>_xlfn.XLOOKUP(B43,'Format-Blr'!$B$7:$B$44,'Format-Blr'!CP$7:CP$44)</f>
        <v>0</v>
      </c>
      <c r="BJ43" s="37">
        <f t="shared" si="13"/>
        <v>0</v>
      </c>
      <c r="BK43" s="34">
        <f t="shared" si="8"/>
        <v>0</v>
      </c>
      <c r="BL43" s="38" t="e">
        <f t="shared" si="9"/>
        <v>#DIV/0!</v>
      </c>
      <c r="BN43" s="37">
        <f t="shared" si="10"/>
        <v>63</v>
      </c>
      <c r="BO43" s="34">
        <f t="shared" si="11"/>
        <v>50</v>
      </c>
      <c r="BP43" s="38">
        <f t="shared" si="12"/>
        <v>79.365079365079367</v>
      </c>
    </row>
    <row r="44" spans="1:68" ht="23.25" customHeight="1" thickBot="1" x14ac:dyDescent="0.3">
      <c r="A44" s="214" t="s">
        <v>37</v>
      </c>
      <c r="B44" s="215"/>
      <c r="C44" s="215"/>
      <c r="D44" s="216"/>
      <c r="E44" s="39">
        <f t="shared" ref="E44:Z44" si="21">SUM(E6:E43)</f>
        <v>254</v>
      </c>
      <c r="F44" s="40">
        <f t="shared" si="21"/>
        <v>227</v>
      </c>
      <c r="G44" s="40">
        <f t="shared" si="21"/>
        <v>632</v>
      </c>
      <c r="H44" s="40">
        <f t="shared" si="21"/>
        <v>581</v>
      </c>
      <c r="I44" s="40">
        <f t="shared" si="21"/>
        <v>1148</v>
      </c>
      <c r="J44" s="40">
        <f t="shared" si="21"/>
        <v>1009</v>
      </c>
      <c r="K44" s="40">
        <f t="shared" si="21"/>
        <v>0</v>
      </c>
      <c r="L44" s="40">
        <f t="shared" si="21"/>
        <v>0</v>
      </c>
      <c r="M44" s="40">
        <f t="shared" si="21"/>
        <v>1088</v>
      </c>
      <c r="N44" s="40">
        <f t="shared" si="21"/>
        <v>958</v>
      </c>
      <c r="O44" s="40">
        <f t="shared" si="21"/>
        <v>2156</v>
      </c>
      <c r="P44" s="40">
        <f t="shared" si="21"/>
        <v>1825</v>
      </c>
      <c r="Q44" s="40">
        <f t="shared" si="21"/>
        <v>1279</v>
      </c>
      <c r="R44" s="40">
        <f t="shared" si="21"/>
        <v>1164</v>
      </c>
      <c r="S44" s="40">
        <f t="shared" si="21"/>
        <v>1006</v>
      </c>
      <c r="T44" s="40">
        <f t="shared" si="21"/>
        <v>889</v>
      </c>
      <c r="U44" s="40">
        <f t="shared" si="21"/>
        <v>289</v>
      </c>
      <c r="V44" s="40">
        <f t="shared" si="21"/>
        <v>238</v>
      </c>
      <c r="W44" s="40">
        <f t="shared" si="21"/>
        <v>870</v>
      </c>
      <c r="X44" s="40">
        <f t="shared" si="21"/>
        <v>781</v>
      </c>
      <c r="Y44" s="40">
        <f t="shared" si="21"/>
        <v>8722</v>
      </c>
      <c r="Z44" s="40">
        <f t="shared" si="21"/>
        <v>7672</v>
      </c>
      <c r="AA44" s="41">
        <f>Z44/Y44*100</f>
        <v>87.961476725521663</v>
      </c>
      <c r="AB44" s="39">
        <f t="shared" ref="AB44:AW44" si="22">SUM(AB6:AB43)</f>
        <v>282</v>
      </c>
      <c r="AC44" s="40">
        <f t="shared" si="22"/>
        <v>84</v>
      </c>
      <c r="AD44" s="40">
        <f t="shared" si="22"/>
        <v>559</v>
      </c>
      <c r="AE44" s="40">
        <f t="shared" si="22"/>
        <v>154</v>
      </c>
      <c r="AF44" s="40">
        <f t="shared" si="22"/>
        <v>869</v>
      </c>
      <c r="AG44" s="40">
        <f t="shared" si="22"/>
        <v>193</v>
      </c>
      <c r="AH44" s="40">
        <f t="shared" si="22"/>
        <v>54</v>
      </c>
      <c r="AI44" s="40">
        <f t="shared" si="22"/>
        <v>19</v>
      </c>
      <c r="AJ44" s="40">
        <f t="shared" si="22"/>
        <v>1051</v>
      </c>
      <c r="AK44" s="40">
        <f t="shared" si="22"/>
        <v>342</v>
      </c>
      <c r="AL44" s="40">
        <f t="shared" si="22"/>
        <v>2005</v>
      </c>
      <c r="AM44" s="40">
        <f t="shared" si="22"/>
        <v>579</v>
      </c>
      <c r="AN44" s="40">
        <f t="shared" si="22"/>
        <v>1201</v>
      </c>
      <c r="AO44" s="40">
        <f t="shared" si="22"/>
        <v>675</v>
      </c>
      <c r="AP44" s="40">
        <f t="shared" si="22"/>
        <v>545</v>
      </c>
      <c r="AQ44" s="40">
        <f t="shared" si="22"/>
        <v>171</v>
      </c>
      <c r="AR44" s="40">
        <f t="shared" si="22"/>
        <v>654</v>
      </c>
      <c r="AS44" s="40">
        <f t="shared" si="22"/>
        <v>184</v>
      </c>
      <c r="AT44" s="40">
        <f t="shared" si="22"/>
        <v>783</v>
      </c>
      <c r="AU44" s="40">
        <f t="shared" si="22"/>
        <v>251</v>
      </c>
      <c r="AV44" s="40">
        <f t="shared" si="22"/>
        <v>8003</v>
      </c>
      <c r="AW44" s="40">
        <f t="shared" si="22"/>
        <v>2652</v>
      </c>
      <c r="AX44" s="41">
        <f>AW44/AV44*100</f>
        <v>33.13757340997126</v>
      </c>
      <c r="AY44" s="39">
        <f>SUM(AY6:AY43)</f>
        <v>128</v>
      </c>
      <c r="AZ44" s="40">
        <f>SUM(AZ6:AZ43)</f>
        <v>113</v>
      </c>
      <c r="BA44" s="43">
        <f>AZ44/AY44*100</f>
        <v>88.28125</v>
      </c>
      <c r="BB44" s="39">
        <f t="shared" ref="BB44:BK44" si="23">SUM(BB6:BB43)</f>
        <v>161</v>
      </c>
      <c r="BC44" s="40">
        <f t="shared" si="23"/>
        <v>82</v>
      </c>
      <c r="BD44" s="40">
        <f t="shared" si="23"/>
        <v>209</v>
      </c>
      <c r="BE44" s="40">
        <f t="shared" si="23"/>
        <v>101</v>
      </c>
      <c r="BF44" s="40">
        <f t="shared" si="23"/>
        <v>233</v>
      </c>
      <c r="BG44" s="40">
        <f t="shared" si="23"/>
        <v>166</v>
      </c>
      <c r="BH44" s="40">
        <f t="shared" si="23"/>
        <v>170</v>
      </c>
      <c r="BI44" s="53">
        <f t="shared" si="23"/>
        <v>137</v>
      </c>
      <c r="BJ44" s="39">
        <f t="shared" si="23"/>
        <v>773</v>
      </c>
      <c r="BK44" s="40">
        <f t="shared" si="23"/>
        <v>486</v>
      </c>
      <c r="BL44" s="41">
        <f>BK44/BJ44*100</f>
        <v>62.871927554980601</v>
      </c>
      <c r="BN44" s="39">
        <f t="shared" ref="BN44:BO44" si="24">SUM(BN6:BN43)</f>
        <v>17626</v>
      </c>
      <c r="BO44" s="40">
        <f t="shared" si="24"/>
        <v>10923</v>
      </c>
      <c r="BP44" s="41">
        <f>BO44/BN44*100</f>
        <v>61.970952002723244</v>
      </c>
    </row>
    <row r="45" spans="1:68" ht="15.75" thickTop="1" x14ac:dyDescent="0.25"/>
    <row r="53" ht="15" customHeight="1" x14ac:dyDescent="0.25"/>
  </sheetData>
  <autoFilter ref="A5:BP5" xr:uid="{00000000-0001-0000-0200-000000000000}"/>
  <mergeCells count="43">
    <mergeCell ref="AB3:AU3"/>
    <mergeCell ref="AV3:AV5"/>
    <mergeCell ref="AW3:AW5"/>
    <mergeCell ref="AX3:AX5"/>
    <mergeCell ref="AB4:AC4"/>
    <mergeCell ref="AD4:AE4"/>
    <mergeCell ref="AF4:AG4"/>
    <mergeCell ref="AH4:AI4"/>
    <mergeCell ref="AN4:AO4"/>
    <mergeCell ref="AP4:AQ4"/>
    <mergeCell ref="AT4:AU4"/>
    <mergeCell ref="AJ4:AK4"/>
    <mergeCell ref="AL4:AM4"/>
    <mergeCell ref="AR4:AS4"/>
    <mergeCell ref="AA3:AA5"/>
    <mergeCell ref="E4:F4"/>
    <mergeCell ref="Q4:R4"/>
    <mergeCell ref="U4:V4"/>
    <mergeCell ref="W4:X4"/>
    <mergeCell ref="Y3:Y5"/>
    <mergeCell ref="Z3:Z5"/>
    <mergeCell ref="A44:D44"/>
    <mergeCell ref="B3:B5"/>
    <mergeCell ref="C3:C5"/>
    <mergeCell ref="D3:D5"/>
    <mergeCell ref="S4:T4"/>
    <mergeCell ref="A3:A5"/>
    <mergeCell ref="E3:X3"/>
    <mergeCell ref="O4:P4"/>
    <mergeCell ref="M4:N4"/>
    <mergeCell ref="K4:L4"/>
    <mergeCell ref="I4:J4"/>
    <mergeCell ref="G4:H4"/>
    <mergeCell ref="AY3:BA4"/>
    <mergeCell ref="BN3:BP4"/>
    <mergeCell ref="BJ3:BJ5"/>
    <mergeCell ref="BK3:BK5"/>
    <mergeCell ref="BL3:BL5"/>
    <mergeCell ref="BB4:BC4"/>
    <mergeCell ref="BD4:BE4"/>
    <mergeCell ref="BF4:BG4"/>
    <mergeCell ref="BH4:BI4"/>
    <mergeCell ref="BB3:BI3"/>
  </mergeCells>
  <pageMargins left="0.15748031496062992" right="0.15748031496062992" top="0.15748031496062992" bottom="0.15748031496062992" header="0.23622047244094491" footer="0.15748031496062992"/>
  <pageSetup paperSize="9" scale="7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0000"/>
    <pageSetUpPr fitToPage="1"/>
  </sheetPr>
  <dimension ref="A1:CU95"/>
  <sheetViews>
    <sheetView tabSelected="1" zoomScale="87" zoomScaleNormal="87" workbookViewId="0">
      <selection activeCell="A7" sqref="A7"/>
    </sheetView>
  </sheetViews>
  <sheetFormatPr defaultRowHeight="15" x14ac:dyDescent="0.25"/>
  <cols>
    <col min="1" max="1" width="6.28515625" style="2" customWidth="1"/>
    <col min="2" max="2" width="35.42578125" style="2" customWidth="1"/>
    <col min="3" max="3" width="6.28515625" style="3" customWidth="1"/>
    <col min="4" max="4" width="7" style="3" customWidth="1"/>
    <col min="5" max="17" width="5.28515625" style="3" customWidth="1"/>
    <col min="18" max="18" width="6.42578125" style="3" customWidth="1"/>
    <col min="19" max="27" width="5.28515625" style="3" customWidth="1"/>
    <col min="28" max="28" width="6.42578125" style="3" customWidth="1"/>
    <col min="29" max="34" width="5.28515625" style="3" customWidth="1"/>
    <col min="35" max="35" width="6.42578125" style="3" customWidth="1"/>
    <col min="36" max="60" width="5.28515625" style="3" customWidth="1"/>
    <col min="61" max="66" width="6.28515625" style="3" customWidth="1"/>
    <col min="67" max="69" width="6.140625" style="3" customWidth="1"/>
    <col min="70" max="74" width="6.140625" style="1" customWidth="1"/>
    <col min="75" max="83" width="5.7109375" style="1" customWidth="1"/>
    <col min="84" max="86" width="6.42578125" style="1" customWidth="1"/>
    <col min="87" max="98" width="7" style="1" customWidth="1"/>
    <col min="99" max="16384" width="9.140625" style="1"/>
  </cols>
  <sheetData>
    <row r="1" spans="1:95" s="4" customFormat="1" ht="30" x14ac:dyDescent="0.25">
      <c r="A1" s="11" t="s">
        <v>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X1" s="13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</row>
    <row r="2" spans="1:95" s="28" customFormat="1" ht="19.5" thickBot="1" x14ac:dyDescent="0.3">
      <c r="A2" s="29" t="s">
        <v>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U2" s="30" t="s">
        <v>138</v>
      </c>
      <c r="X2" s="29"/>
      <c r="Y2" s="29"/>
      <c r="Z2" s="29"/>
      <c r="AA2" s="29"/>
      <c r="AB2" s="31"/>
      <c r="AC2" s="31"/>
      <c r="AD2" s="31"/>
      <c r="AE2" s="31"/>
      <c r="AF2" s="31"/>
      <c r="AG2" s="29"/>
      <c r="AH2" s="29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</row>
    <row r="3" spans="1:95" s="19" customFormat="1" ht="32.25" customHeight="1" thickTop="1" thickBot="1" x14ac:dyDescent="0.3">
      <c r="A3" s="160" t="s">
        <v>8</v>
      </c>
      <c r="B3" s="163" t="s">
        <v>9</v>
      </c>
      <c r="C3" s="166" t="s">
        <v>10</v>
      </c>
      <c r="D3" s="169" t="s">
        <v>11</v>
      </c>
      <c r="E3" s="117" t="s">
        <v>100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8"/>
      <c r="BH3" s="118"/>
      <c r="BI3" s="118"/>
      <c r="BJ3" s="118"/>
      <c r="BK3" s="118"/>
      <c r="BL3" s="118"/>
      <c r="BM3" s="118"/>
      <c r="BN3" s="118"/>
      <c r="BO3" s="118"/>
      <c r="BP3" s="118"/>
      <c r="BQ3" s="118"/>
      <c r="BR3" s="118"/>
      <c r="BS3" s="118"/>
      <c r="BT3" s="118"/>
      <c r="BU3" s="118"/>
      <c r="BV3" s="119"/>
      <c r="BW3" s="135" t="s">
        <v>101</v>
      </c>
      <c r="BX3" s="136"/>
      <c r="BY3" s="137"/>
      <c r="BZ3" s="141" t="s">
        <v>102</v>
      </c>
      <c r="CA3" s="142"/>
      <c r="CB3" s="143"/>
      <c r="CC3" s="147" t="s">
        <v>103</v>
      </c>
      <c r="CD3" s="148"/>
      <c r="CE3" s="149"/>
      <c r="CF3" s="106" t="s">
        <v>62</v>
      </c>
      <c r="CG3" s="107"/>
      <c r="CH3" s="107"/>
      <c r="CI3" s="107"/>
      <c r="CJ3" s="107"/>
      <c r="CK3" s="107"/>
      <c r="CL3" s="107"/>
      <c r="CM3" s="107"/>
      <c r="CN3" s="107"/>
      <c r="CO3" s="107"/>
      <c r="CP3" s="107"/>
      <c r="CQ3" s="108"/>
    </row>
    <row r="4" spans="1:95" s="20" customFormat="1" ht="38.25" customHeight="1" x14ac:dyDescent="0.25">
      <c r="A4" s="161"/>
      <c r="B4" s="164"/>
      <c r="C4" s="167"/>
      <c r="D4" s="170"/>
      <c r="E4" s="126" t="s">
        <v>84</v>
      </c>
      <c r="F4" s="127"/>
      <c r="G4" s="127"/>
      <c r="H4" s="128"/>
      <c r="I4" s="129" t="s">
        <v>85</v>
      </c>
      <c r="J4" s="130"/>
      <c r="K4" s="131"/>
      <c r="L4" s="126" t="s">
        <v>86</v>
      </c>
      <c r="M4" s="127"/>
      <c r="N4" s="127"/>
      <c r="O4" s="128"/>
      <c r="P4" s="129" t="s">
        <v>87</v>
      </c>
      <c r="Q4" s="130"/>
      <c r="R4" s="131"/>
      <c r="S4" s="126" t="s">
        <v>88</v>
      </c>
      <c r="T4" s="127"/>
      <c r="U4" s="127"/>
      <c r="V4" s="128"/>
      <c r="W4" s="129" t="s">
        <v>89</v>
      </c>
      <c r="X4" s="130"/>
      <c r="Y4" s="131"/>
      <c r="Z4" s="110" t="s">
        <v>90</v>
      </c>
      <c r="AA4" s="111"/>
      <c r="AB4" s="111"/>
      <c r="AC4" s="112"/>
      <c r="AD4" s="120" t="s">
        <v>91</v>
      </c>
      <c r="AE4" s="121"/>
      <c r="AF4" s="122"/>
      <c r="AG4" s="110" t="s">
        <v>92</v>
      </c>
      <c r="AH4" s="111"/>
      <c r="AI4" s="111"/>
      <c r="AJ4" s="112"/>
      <c r="AK4" s="120" t="s">
        <v>93</v>
      </c>
      <c r="AL4" s="121"/>
      <c r="AM4" s="122"/>
      <c r="AN4" s="126" t="s">
        <v>128</v>
      </c>
      <c r="AO4" s="127"/>
      <c r="AP4" s="127"/>
      <c r="AQ4" s="128"/>
      <c r="AR4" s="129" t="s">
        <v>129</v>
      </c>
      <c r="AS4" s="130"/>
      <c r="AT4" s="131"/>
      <c r="AU4" s="173" t="s">
        <v>94</v>
      </c>
      <c r="AV4" s="174"/>
      <c r="AW4" s="174"/>
      <c r="AX4" s="175"/>
      <c r="AY4" s="129" t="s">
        <v>95</v>
      </c>
      <c r="AZ4" s="130"/>
      <c r="BA4" s="131"/>
      <c r="BB4" s="173" t="s">
        <v>96</v>
      </c>
      <c r="BC4" s="174"/>
      <c r="BD4" s="174"/>
      <c r="BE4" s="175"/>
      <c r="BF4" s="129" t="s">
        <v>97</v>
      </c>
      <c r="BG4" s="130"/>
      <c r="BH4" s="131"/>
      <c r="BI4" s="173" t="s">
        <v>130</v>
      </c>
      <c r="BJ4" s="174"/>
      <c r="BK4" s="174"/>
      <c r="BL4" s="175"/>
      <c r="BM4" s="129" t="s">
        <v>131</v>
      </c>
      <c r="BN4" s="130"/>
      <c r="BO4" s="131"/>
      <c r="BP4" s="177" t="s">
        <v>98</v>
      </c>
      <c r="BQ4" s="178"/>
      <c r="BR4" s="178"/>
      <c r="BS4" s="179"/>
      <c r="BT4" s="120" t="s">
        <v>99</v>
      </c>
      <c r="BU4" s="121"/>
      <c r="BV4" s="122"/>
      <c r="BW4" s="138"/>
      <c r="BX4" s="139"/>
      <c r="BY4" s="140"/>
      <c r="BZ4" s="144"/>
      <c r="CA4" s="145"/>
      <c r="CB4" s="146"/>
      <c r="CC4" s="150"/>
      <c r="CD4" s="151"/>
      <c r="CE4" s="152"/>
      <c r="CF4" s="180" t="s">
        <v>63</v>
      </c>
      <c r="CG4" s="105"/>
      <c r="CH4" s="105"/>
      <c r="CI4" s="105" t="s">
        <v>64</v>
      </c>
      <c r="CJ4" s="105"/>
      <c r="CK4" s="105"/>
      <c r="CL4" s="105" t="s">
        <v>65</v>
      </c>
      <c r="CM4" s="105"/>
      <c r="CN4" s="105"/>
      <c r="CO4" s="105" t="s">
        <v>66</v>
      </c>
      <c r="CP4" s="105"/>
      <c r="CQ4" s="176"/>
    </row>
    <row r="5" spans="1:95" s="19" customFormat="1" ht="21.75" customHeight="1" x14ac:dyDescent="0.25">
      <c r="A5" s="161"/>
      <c r="B5" s="164"/>
      <c r="C5" s="167"/>
      <c r="D5" s="170"/>
      <c r="E5" s="113" t="s">
        <v>29</v>
      </c>
      <c r="F5" s="114"/>
      <c r="G5" s="115" t="s">
        <v>30</v>
      </c>
      <c r="H5" s="116"/>
      <c r="I5" s="132"/>
      <c r="J5" s="133"/>
      <c r="K5" s="134"/>
      <c r="L5" s="113" t="s">
        <v>29</v>
      </c>
      <c r="M5" s="114"/>
      <c r="N5" s="115" t="s">
        <v>30</v>
      </c>
      <c r="O5" s="116"/>
      <c r="P5" s="132"/>
      <c r="Q5" s="133"/>
      <c r="R5" s="134"/>
      <c r="S5" s="113" t="s">
        <v>29</v>
      </c>
      <c r="T5" s="114"/>
      <c r="U5" s="115" t="s">
        <v>30</v>
      </c>
      <c r="V5" s="116"/>
      <c r="W5" s="132"/>
      <c r="X5" s="133"/>
      <c r="Y5" s="134"/>
      <c r="Z5" s="113" t="s">
        <v>29</v>
      </c>
      <c r="AA5" s="114"/>
      <c r="AB5" s="115" t="s">
        <v>30</v>
      </c>
      <c r="AC5" s="116"/>
      <c r="AD5" s="123"/>
      <c r="AE5" s="124"/>
      <c r="AF5" s="125"/>
      <c r="AG5" s="113" t="s">
        <v>29</v>
      </c>
      <c r="AH5" s="114"/>
      <c r="AI5" s="115" t="s">
        <v>30</v>
      </c>
      <c r="AJ5" s="116"/>
      <c r="AK5" s="123"/>
      <c r="AL5" s="124"/>
      <c r="AM5" s="125"/>
      <c r="AN5" s="113" t="s">
        <v>29</v>
      </c>
      <c r="AO5" s="114"/>
      <c r="AP5" s="115" t="s">
        <v>30</v>
      </c>
      <c r="AQ5" s="116"/>
      <c r="AR5" s="132"/>
      <c r="AS5" s="133"/>
      <c r="AT5" s="134"/>
      <c r="AU5" s="113" t="s">
        <v>29</v>
      </c>
      <c r="AV5" s="114"/>
      <c r="AW5" s="115" t="s">
        <v>30</v>
      </c>
      <c r="AX5" s="116"/>
      <c r="AY5" s="132"/>
      <c r="AZ5" s="133"/>
      <c r="BA5" s="134"/>
      <c r="BB5" s="113" t="s">
        <v>29</v>
      </c>
      <c r="BC5" s="114"/>
      <c r="BD5" s="115" t="s">
        <v>30</v>
      </c>
      <c r="BE5" s="116"/>
      <c r="BF5" s="132"/>
      <c r="BG5" s="133"/>
      <c r="BH5" s="134"/>
      <c r="BI5" s="113" t="s">
        <v>29</v>
      </c>
      <c r="BJ5" s="114"/>
      <c r="BK5" s="115" t="s">
        <v>30</v>
      </c>
      <c r="BL5" s="116"/>
      <c r="BM5" s="132"/>
      <c r="BN5" s="133"/>
      <c r="BO5" s="134"/>
      <c r="BP5" s="113" t="s">
        <v>29</v>
      </c>
      <c r="BQ5" s="114"/>
      <c r="BR5" s="115" t="s">
        <v>30</v>
      </c>
      <c r="BS5" s="116"/>
      <c r="BT5" s="123"/>
      <c r="BU5" s="124"/>
      <c r="BV5" s="125"/>
      <c r="BW5" s="153" t="s">
        <v>24</v>
      </c>
      <c r="BX5" s="154" t="s">
        <v>14</v>
      </c>
      <c r="BY5" s="155" t="s">
        <v>31</v>
      </c>
      <c r="BZ5" s="156" t="s">
        <v>24</v>
      </c>
      <c r="CA5" s="157" t="s">
        <v>14</v>
      </c>
      <c r="CB5" s="158" t="s">
        <v>31</v>
      </c>
      <c r="CC5" s="159" t="s">
        <v>24</v>
      </c>
      <c r="CD5" s="181" t="s">
        <v>14</v>
      </c>
      <c r="CE5" s="182" t="s">
        <v>31</v>
      </c>
      <c r="CF5" s="183" t="s">
        <v>24</v>
      </c>
      <c r="CG5" s="109" t="s">
        <v>14</v>
      </c>
      <c r="CH5" s="109" t="s">
        <v>31</v>
      </c>
      <c r="CI5" s="109" t="s">
        <v>24</v>
      </c>
      <c r="CJ5" s="109" t="s">
        <v>14</v>
      </c>
      <c r="CK5" s="109" t="s">
        <v>31</v>
      </c>
      <c r="CL5" s="109" t="s">
        <v>24</v>
      </c>
      <c r="CM5" s="109" t="s">
        <v>14</v>
      </c>
      <c r="CN5" s="109" t="s">
        <v>31</v>
      </c>
      <c r="CO5" s="109" t="s">
        <v>24</v>
      </c>
      <c r="CP5" s="109" t="s">
        <v>14</v>
      </c>
      <c r="CQ5" s="172" t="s">
        <v>31</v>
      </c>
    </row>
    <row r="6" spans="1:95" s="18" customFormat="1" ht="25.5" customHeight="1" x14ac:dyDescent="0.25">
      <c r="A6" s="162"/>
      <c r="B6" s="165"/>
      <c r="C6" s="168"/>
      <c r="D6" s="171"/>
      <c r="E6" s="21" t="s">
        <v>24</v>
      </c>
      <c r="F6" s="22" t="s">
        <v>14</v>
      </c>
      <c r="G6" s="23" t="s">
        <v>24</v>
      </c>
      <c r="H6" s="23" t="s">
        <v>14</v>
      </c>
      <c r="I6" s="24" t="s">
        <v>24</v>
      </c>
      <c r="J6" s="24" t="s">
        <v>14</v>
      </c>
      <c r="K6" s="25" t="s">
        <v>31</v>
      </c>
      <c r="L6" s="21" t="s">
        <v>24</v>
      </c>
      <c r="M6" s="22" t="s">
        <v>14</v>
      </c>
      <c r="N6" s="23" t="s">
        <v>24</v>
      </c>
      <c r="O6" s="23" t="s">
        <v>14</v>
      </c>
      <c r="P6" s="24" t="s">
        <v>24</v>
      </c>
      <c r="Q6" s="24" t="s">
        <v>14</v>
      </c>
      <c r="R6" s="25" t="s">
        <v>31</v>
      </c>
      <c r="S6" s="21" t="s">
        <v>24</v>
      </c>
      <c r="T6" s="22" t="s">
        <v>14</v>
      </c>
      <c r="U6" s="23" t="s">
        <v>24</v>
      </c>
      <c r="V6" s="23" t="s">
        <v>14</v>
      </c>
      <c r="W6" s="24" t="s">
        <v>24</v>
      </c>
      <c r="X6" s="24" t="s">
        <v>14</v>
      </c>
      <c r="Y6" s="25" t="s">
        <v>31</v>
      </c>
      <c r="Z6" s="21" t="s">
        <v>24</v>
      </c>
      <c r="AA6" s="22" t="s">
        <v>14</v>
      </c>
      <c r="AB6" s="23" t="s">
        <v>24</v>
      </c>
      <c r="AC6" s="23" t="s">
        <v>14</v>
      </c>
      <c r="AD6" s="24" t="s">
        <v>24</v>
      </c>
      <c r="AE6" s="24" t="s">
        <v>14</v>
      </c>
      <c r="AF6" s="25" t="s">
        <v>31</v>
      </c>
      <c r="AG6" s="21" t="s">
        <v>24</v>
      </c>
      <c r="AH6" s="22" t="s">
        <v>14</v>
      </c>
      <c r="AI6" s="23" t="s">
        <v>24</v>
      </c>
      <c r="AJ6" s="23" t="s">
        <v>14</v>
      </c>
      <c r="AK6" s="24" t="s">
        <v>24</v>
      </c>
      <c r="AL6" s="24" t="s">
        <v>14</v>
      </c>
      <c r="AM6" s="25" t="s">
        <v>31</v>
      </c>
      <c r="AN6" s="21" t="s">
        <v>24</v>
      </c>
      <c r="AO6" s="22" t="s">
        <v>14</v>
      </c>
      <c r="AP6" s="23" t="s">
        <v>24</v>
      </c>
      <c r="AQ6" s="23" t="s">
        <v>14</v>
      </c>
      <c r="AR6" s="24" t="s">
        <v>24</v>
      </c>
      <c r="AS6" s="24" t="s">
        <v>14</v>
      </c>
      <c r="AT6" s="25" t="s">
        <v>31</v>
      </c>
      <c r="AU6" s="21" t="s">
        <v>24</v>
      </c>
      <c r="AV6" s="22" t="s">
        <v>14</v>
      </c>
      <c r="AW6" s="23" t="s">
        <v>24</v>
      </c>
      <c r="AX6" s="23" t="s">
        <v>14</v>
      </c>
      <c r="AY6" s="24" t="s">
        <v>24</v>
      </c>
      <c r="AZ6" s="24" t="s">
        <v>14</v>
      </c>
      <c r="BA6" s="25" t="s">
        <v>31</v>
      </c>
      <c r="BB6" s="21" t="s">
        <v>24</v>
      </c>
      <c r="BC6" s="22" t="s">
        <v>14</v>
      </c>
      <c r="BD6" s="23" t="s">
        <v>24</v>
      </c>
      <c r="BE6" s="23" t="s">
        <v>14</v>
      </c>
      <c r="BF6" s="24" t="s">
        <v>24</v>
      </c>
      <c r="BG6" s="24" t="s">
        <v>14</v>
      </c>
      <c r="BH6" s="25" t="s">
        <v>31</v>
      </c>
      <c r="BI6" s="21" t="s">
        <v>24</v>
      </c>
      <c r="BJ6" s="22" t="s">
        <v>14</v>
      </c>
      <c r="BK6" s="23" t="s">
        <v>24</v>
      </c>
      <c r="BL6" s="23" t="s">
        <v>14</v>
      </c>
      <c r="BM6" s="24" t="s">
        <v>24</v>
      </c>
      <c r="BN6" s="24" t="s">
        <v>14</v>
      </c>
      <c r="BO6" s="25" t="s">
        <v>31</v>
      </c>
      <c r="BP6" s="21" t="s">
        <v>24</v>
      </c>
      <c r="BQ6" s="22" t="s">
        <v>14</v>
      </c>
      <c r="BR6" s="23" t="s">
        <v>24</v>
      </c>
      <c r="BS6" s="23" t="s">
        <v>14</v>
      </c>
      <c r="BT6" s="24" t="s">
        <v>24</v>
      </c>
      <c r="BU6" s="24" t="s">
        <v>14</v>
      </c>
      <c r="BV6" s="25" t="s">
        <v>31</v>
      </c>
      <c r="BW6" s="153"/>
      <c r="BX6" s="154"/>
      <c r="BY6" s="155"/>
      <c r="BZ6" s="156"/>
      <c r="CA6" s="157"/>
      <c r="CB6" s="158"/>
      <c r="CC6" s="159"/>
      <c r="CD6" s="181"/>
      <c r="CE6" s="182"/>
      <c r="CF6" s="183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72"/>
    </row>
    <row r="7" spans="1:95" s="17" customFormat="1" ht="21" customHeight="1" x14ac:dyDescent="0.2">
      <c r="A7" s="103">
        <v>1</v>
      </c>
      <c r="B7" s="104" t="s">
        <v>51</v>
      </c>
      <c r="C7" s="65" t="s">
        <v>15</v>
      </c>
      <c r="D7" s="66" t="s">
        <v>16</v>
      </c>
      <c r="E7" s="67">
        <v>0</v>
      </c>
      <c r="F7" s="68">
        <v>0</v>
      </c>
      <c r="G7" s="69">
        <v>0</v>
      </c>
      <c r="H7" s="69">
        <v>0</v>
      </c>
      <c r="I7" s="70">
        <f t="shared" ref="I7:J7" si="0">SUM(E7,G7)</f>
        <v>0</v>
      </c>
      <c r="J7" s="70">
        <f t="shared" si="0"/>
        <v>0</v>
      </c>
      <c r="K7" s="71" t="str">
        <f t="shared" ref="K7" si="1">IFERROR(J7/I7,"-")</f>
        <v>-</v>
      </c>
      <c r="L7" s="67">
        <v>0</v>
      </c>
      <c r="M7" s="68">
        <v>0</v>
      </c>
      <c r="N7" s="69">
        <v>0</v>
      </c>
      <c r="O7" s="69">
        <v>0</v>
      </c>
      <c r="P7" s="70">
        <f t="shared" ref="P7:P44" si="2">SUM(L7,N7)</f>
        <v>0</v>
      </c>
      <c r="Q7" s="70">
        <f t="shared" ref="Q7:Q44" si="3">SUM(M7,O7)</f>
        <v>0</v>
      </c>
      <c r="R7" s="71" t="str">
        <f t="shared" ref="R7:R44" si="4">IFERROR(Q7/P7,"-")</f>
        <v>-</v>
      </c>
      <c r="S7" s="67">
        <v>0</v>
      </c>
      <c r="T7" s="68">
        <v>0</v>
      </c>
      <c r="U7" s="69">
        <v>0</v>
      </c>
      <c r="V7" s="69">
        <v>0</v>
      </c>
      <c r="W7" s="70">
        <f t="shared" ref="W7:W44" si="5">SUM(S7,U7)</f>
        <v>0</v>
      </c>
      <c r="X7" s="70">
        <f t="shared" ref="X7:X44" si="6">SUM(T7,V7)</f>
        <v>0</v>
      </c>
      <c r="Y7" s="71" t="str">
        <f t="shared" ref="Y7:Y44" si="7">IFERROR(X7/W7,"-")</f>
        <v>-</v>
      </c>
      <c r="Z7" s="67">
        <v>0</v>
      </c>
      <c r="AA7" s="68">
        <v>0</v>
      </c>
      <c r="AB7" s="69">
        <v>0</v>
      </c>
      <c r="AC7" s="69">
        <v>0</v>
      </c>
      <c r="AD7" s="70">
        <f t="shared" ref="AD7:AD44" si="8">SUM(Z7,AB7)</f>
        <v>0</v>
      </c>
      <c r="AE7" s="70">
        <f t="shared" ref="AE7:AE44" si="9">SUM(AA7,AC7)</f>
        <v>0</v>
      </c>
      <c r="AF7" s="71" t="str">
        <f t="shared" ref="AF7:AF44" si="10">IFERROR(AE7/AD7,"-")</f>
        <v>-</v>
      </c>
      <c r="AG7" s="67">
        <v>36</v>
      </c>
      <c r="AH7" s="68">
        <v>32</v>
      </c>
      <c r="AI7" s="69">
        <v>31</v>
      </c>
      <c r="AJ7" s="69">
        <v>28</v>
      </c>
      <c r="AK7" s="70">
        <f t="shared" ref="AK7:AK44" si="11">SUM(AG7,AI7)</f>
        <v>67</v>
      </c>
      <c r="AL7" s="70">
        <f t="shared" ref="AL7:AL44" si="12">SUM(AH7,AJ7)</f>
        <v>60</v>
      </c>
      <c r="AM7" s="71">
        <f t="shared" ref="AM7:AM44" si="13">IFERROR(AL7/AK7,"-")</f>
        <v>0.89552238805970152</v>
      </c>
      <c r="AN7" s="67">
        <v>25</v>
      </c>
      <c r="AO7" s="68">
        <v>20</v>
      </c>
      <c r="AP7" s="69">
        <v>32</v>
      </c>
      <c r="AQ7" s="69">
        <v>28</v>
      </c>
      <c r="AR7" s="70">
        <f t="shared" ref="AR7:AR44" si="14">SUM(AN7,AP7)</f>
        <v>57</v>
      </c>
      <c r="AS7" s="70">
        <f t="shared" ref="AS7:AS44" si="15">SUM(AO7,AQ7)</f>
        <v>48</v>
      </c>
      <c r="AT7" s="71">
        <f t="shared" ref="AT7:AT44" si="16">IFERROR(AS7/AR7,"-")</f>
        <v>0.84210526315789469</v>
      </c>
      <c r="AU7" s="67">
        <v>0</v>
      </c>
      <c r="AV7" s="68">
        <v>0</v>
      </c>
      <c r="AW7" s="69">
        <v>0</v>
      </c>
      <c r="AX7" s="69">
        <v>0</v>
      </c>
      <c r="AY7" s="70">
        <f t="shared" ref="AY7:AY44" si="17">SUM(AU7,AW7)</f>
        <v>0</v>
      </c>
      <c r="AZ7" s="70">
        <f t="shared" ref="AZ7:AZ44" si="18">SUM(AV7,AX7)</f>
        <v>0</v>
      </c>
      <c r="BA7" s="71" t="str">
        <f t="shared" ref="BA7:BA44" si="19">IFERROR(AZ7/AY7,"-")</f>
        <v>-</v>
      </c>
      <c r="BB7" s="67">
        <v>0</v>
      </c>
      <c r="BC7" s="68">
        <v>0</v>
      </c>
      <c r="BD7" s="69">
        <v>0</v>
      </c>
      <c r="BE7" s="69">
        <v>0</v>
      </c>
      <c r="BF7" s="70">
        <f t="shared" ref="BF7:BF44" si="20">SUM(BB7,BD7)</f>
        <v>0</v>
      </c>
      <c r="BG7" s="70">
        <f t="shared" ref="BG7:BG44" si="21">SUM(BC7,BE7)</f>
        <v>0</v>
      </c>
      <c r="BH7" s="71" t="str">
        <f t="shared" ref="BH7:BH44" si="22">IFERROR(BG7/BF7,"-")</f>
        <v>-</v>
      </c>
      <c r="BI7" s="67">
        <v>0</v>
      </c>
      <c r="BJ7" s="68">
        <v>0</v>
      </c>
      <c r="BK7" s="69">
        <v>0</v>
      </c>
      <c r="BL7" s="69">
        <v>0</v>
      </c>
      <c r="BM7" s="70">
        <f t="shared" ref="BM7:BM44" si="23">SUM(BI7,BK7)</f>
        <v>0</v>
      </c>
      <c r="BN7" s="70">
        <f t="shared" ref="BN7:BN44" si="24">SUM(BJ7,BL7)</f>
        <v>0</v>
      </c>
      <c r="BO7" s="71" t="str">
        <f t="shared" ref="BO7:BO44" si="25">IFERROR(BN7/BM7,"-")</f>
        <v>-</v>
      </c>
      <c r="BP7" s="67">
        <v>25</v>
      </c>
      <c r="BQ7" s="68">
        <v>21</v>
      </c>
      <c r="BR7" s="69">
        <v>23</v>
      </c>
      <c r="BS7" s="69">
        <v>21</v>
      </c>
      <c r="BT7" s="70">
        <f t="shared" ref="BT7:BT44" si="26">SUM(BP7,BR7)</f>
        <v>48</v>
      </c>
      <c r="BU7" s="70">
        <f t="shared" ref="BU7:BU44" si="27">SUM(BQ7,BS7)</f>
        <v>42</v>
      </c>
      <c r="BV7" s="71">
        <f t="shared" ref="BV7:BV44" si="28">IFERROR(BU7/BT7,"-")</f>
        <v>0.875</v>
      </c>
      <c r="BW7" s="67">
        <f>SUM(E7,S7,Z7,AG7,AN7,AU7,L7,BB7,BI7,BP7)</f>
        <v>86</v>
      </c>
      <c r="BX7" s="68">
        <f>SUM(F7,T7,AA7,AH7,AO7,AV7,M7,BC7,BJ7,BQ7)</f>
        <v>73</v>
      </c>
      <c r="BY7" s="72">
        <f t="shared" ref="BY7" si="29">IFERROR(BX7/BW7,"-")</f>
        <v>0.84883720930232553</v>
      </c>
      <c r="BZ7" s="73">
        <f>SUM(G7,U7,AB7,AI7,AP7,AW7,N7,BD7,BK7,BR7)</f>
        <v>86</v>
      </c>
      <c r="CA7" s="69">
        <f>SUM(H7,V7,AC7,AJ7,AQ7,AX7,O7,BE7,BL7,BS7)</f>
        <v>77</v>
      </c>
      <c r="CB7" s="74">
        <f t="shared" ref="CB7" si="30">IFERROR(CA7/BZ7,"-")</f>
        <v>0.89534883720930236</v>
      </c>
      <c r="CC7" s="75">
        <f t="shared" ref="CC7:CD7" si="31">SUM(BW7,BZ7)</f>
        <v>172</v>
      </c>
      <c r="CD7" s="76">
        <f t="shared" si="31"/>
        <v>150</v>
      </c>
      <c r="CE7" s="84">
        <f t="shared" ref="CE7" si="32">IFERROR(CD7/CC7,"-")</f>
        <v>0.87209302325581395</v>
      </c>
      <c r="CF7" s="77">
        <v>0</v>
      </c>
      <c r="CG7" s="78">
        <v>0</v>
      </c>
      <c r="CH7" s="79" t="str">
        <f t="shared" ref="CH7:CH10" si="33">IFERROR(CG7/CF7,"-")</f>
        <v>-</v>
      </c>
      <c r="CI7" s="80">
        <v>0</v>
      </c>
      <c r="CJ7" s="80">
        <v>0</v>
      </c>
      <c r="CK7" s="81" t="str">
        <f t="shared" ref="CK7:CK10" si="34">IFERROR(CJ7/CI7,"-")</f>
        <v>-</v>
      </c>
      <c r="CL7" s="78">
        <v>0</v>
      </c>
      <c r="CM7" s="78">
        <v>0</v>
      </c>
      <c r="CN7" s="79" t="str">
        <f t="shared" ref="CN7:CN10" si="35">IFERROR(CM7/CL7,"-")</f>
        <v>-</v>
      </c>
      <c r="CO7" s="80">
        <v>0</v>
      </c>
      <c r="CP7" s="80">
        <v>0</v>
      </c>
      <c r="CQ7" s="82" t="str">
        <f t="shared" ref="CQ7:CQ10" si="36">IFERROR(CP7/CO7,"-")</f>
        <v>-</v>
      </c>
    </row>
    <row r="8" spans="1:95" s="17" customFormat="1" ht="21" customHeight="1" x14ac:dyDescent="0.2">
      <c r="A8" s="103">
        <v>2</v>
      </c>
      <c r="B8" s="104" t="s">
        <v>41</v>
      </c>
      <c r="C8" s="65" t="s">
        <v>15</v>
      </c>
      <c r="D8" s="66" t="s">
        <v>16</v>
      </c>
      <c r="E8" s="67">
        <v>4</v>
      </c>
      <c r="F8" s="68">
        <v>4</v>
      </c>
      <c r="G8" s="69">
        <v>0</v>
      </c>
      <c r="H8" s="69">
        <v>0</v>
      </c>
      <c r="I8" s="70">
        <f t="shared" ref="I8:I44" si="37">SUM(E8,G8)</f>
        <v>4</v>
      </c>
      <c r="J8" s="70">
        <f t="shared" ref="J8:J44" si="38">SUM(F8,H8)</f>
        <v>4</v>
      </c>
      <c r="K8" s="71">
        <f t="shared" ref="K8:K44" si="39">IFERROR(J8/I8,"-")</f>
        <v>1</v>
      </c>
      <c r="L8" s="67">
        <v>38</v>
      </c>
      <c r="M8" s="68">
        <v>36</v>
      </c>
      <c r="N8" s="69">
        <v>0</v>
      </c>
      <c r="O8" s="69">
        <v>0</v>
      </c>
      <c r="P8" s="70">
        <f t="shared" si="2"/>
        <v>38</v>
      </c>
      <c r="Q8" s="70">
        <f t="shared" si="3"/>
        <v>36</v>
      </c>
      <c r="R8" s="71">
        <f t="shared" si="4"/>
        <v>0.94736842105263153</v>
      </c>
      <c r="S8" s="67">
        <v>56</v>
      </c>
      <c r="T8" s="68">
        <v>50</v>
      </c>
      <c r="U8" s="69">
        <v>59</v>
      </c>
      <c r="V8" s="69">
        <v>45</v>
      </c>
      <c r="W8" s="70">
        <f t="shared" si="5"/>
        <v>115</v>
      </c>
      <c r="X8" s="70">
        <f t="shared" si="6"/>
        <v>95</v>
      </c>
      <c r="Y8" s="71">
        <f t="shared" si="7"/>
        <v>0.82608695652173914</v>
      </c>
      <c r="Z8" s="67">
        <v>0</v>
      </c>
      <c r="AA8" s="68">
        <v>0</v>
      </c>
      <c r="AB8" s="69">
        <v>0</v>
      </c>
      <c r="AC8" s="69">
        <v>0</v>
      </c>
      <c r="AD8" s="70">
        <f t="shared" si="8"/>
        <v>0</v>
      </c>
      <c r="AE8" s="70">
        <f t="shared" si="9"/>
        <v>0</v>
      </c>
      <c r="AF8" s="71" t="str">
        <f t="shared" si="10"/>
        <v>-</v>
      </c>
      <c r="AG8" s="67">
        <v>52</v>
      </c>
      <c r="AH8" s="68">
        <v>45</v>
      </c>
      <c r="AI8" s="69">
        <v>0</v>
      </c>
      <c r="AJ8" s="69">
        <v>0</v>
      </c>
      <c r="AK8" s="70">
        <f t="shared" si="11"/>
        <v>52</v>
      </c>
      <c r="AL8" s="70">
        <f t="shared" si="12"/>
        <v>45</v>
      </c>
      <c r="AM8" s="71">
        <f t="shared" si="13"/>
        <v>0.86538461538461542</v>
      </c>
      <c r="AN8" s="67">
        <v>28</v>
      </c>
      <c r="AO8" s="68">
        <v>24</v>
      </c>
      <c r="AP8" s="69">
        <v>64</v>
      </c>
      <c r="AQ8" s="69">
        <v>60</v>
      </c>
      <c r="AR8" s="70">
        <f t="shared" si="14"/>
        <v>92</v>
      </c>
      <c r="AS8" s="70">
        <f t="shared" si="15"/>
        <v>84</v>
      </c>
      <c r="AT8" s="71">
        <f t="shared" si="16"/>
        <v>0.91304347826086951</v>
      </c>
      <c r="AU8" s="67">
        <v>52</v>
      </c>
      <c r="AV8" s="68">
        <v>45</v>
      </c>
      <c r="AW8" s="69">
        <v>0</v>
      </c>
      <c r="AX8" s="69">
        <v>0</v>
      </c>
      <c r="AY8" s="70">
        <f t="shared" si="17"/>
        <v>52</v>
      </c>
      <c r="AZ8" s="70">
        <f t="shared" si="18"/>
        <v>45</v>
      </c>
      <c r="BA8" s="71">
        <f t="shared" si="19"/>
        <v>0.86538461538461542</v>
      </c>
      <c r="BB8" s="67">
        <v>0</v>
      </c>
      <c r="BC8" s="68">
        <v>0</v>
      </c>
      <c r="BD8" s="69">
        <v>0</v>
      </c>
      <c r="BE8" s="69">
        <v>0</v>
      </c>
      <c r="BF8" s="70">
        <f t="shared" si="20"/>
        <v>0</v>
      </c>
      <c r="BG8" s="70">
        <f t="shared" si="21"/>
        <v>0</v>
      </c>
      <c r="BH8" s="71" t="str">
        <f t="shared" si="22"/>
        <v>-</v>
      </c>
      <c r="BI8" s="67">
        <v>0</v>
      </c>
      <c r="BJ8" s="68">
        <v>0</v>
      </c>
      <c r="BK8" s="69">
        <v>0</v>
      </c>
      <c r="BL8" s="69">
        <v>0</v>
      </c>
      <c r="BM8" s="70">
        <f t="shared" si="23"/>
        <v>0</v>
      </c>
      <c r="BN8" s="70">
        <f t="shared" si="24"/>
        <v>0</v>
      </c>
      <c r="BO8" s="71" t="str">
        <f t="shared" si="25"/>
        <v>-</v>
      </c>
      <c r="BP8" s="67">
        <v>48</v>
      </c>
      <c r="BQ8" s="68">
        <v>42</v>
      </c>
      <c r="BR8" s="69">
        <v>0</v>
      </c>
      <c r="BS8" s="69">
        <v>0</v>
      </c>
      <c r="BT8" s="70">
        <f t="shared" si="26"/>
        <v>48</v>
      </c>
      <c r="BU8" s="70">
        <f t="shared" si="27"/>
        <v>42</v>
      </c>
      <c r="BV8" s="71">
        <f t="shared" si="28"/>
        <v>0.875</v>
      </c>
      <c r="BW8" s="67">
        <f t="shared" ref="BW8:BW44" si="40">SUM(E8,S8,Z8,AG8,AN8,AU8,L8,BB8,BI8,BP8)</f>
        <v>278</v>
      </c>
      <c r="BX8" s="68">
        <f t="shared" ref="BX8:BX44" si="41">SUM(F8,T8,AA8,AH8,AO8,AV8,M8,BC8,BJ8,BQ8)</f>
        <v>246</v>
      </c>
      <c r="BY8" s="72">
        <f t="shared" ref="BY8:BY44" si="42">IFERROR(BX8/BW8,"-")</f>
        <v>0.8848920863309353</v>
      </c>
      <c r="BZ8" s="73">
        <f t="shared" ref="BZ8:BZ44" si="43">SUM(G8,U8,AB8,AI8,AP8,AW8,N8,BD8,BK8,BR8)</f>
        <v>123</v>
      </c>
      <c r="CA8" s="69">
        <f t="shared" ref="CA8:CA44" si="44">SUM(H8,V8,AC8,AJ8,AQ8,AX8,O8,BE8,BL8,BS8)</f>
        <v>105</v>
      </c>
      <c r="CB8" s="74">
        <f t="shared" ref="CB8:CB44" si="45">IFERROR(CA8/BZ8,"-")</f>
        <v>0.85365853658536583</v>
      </c>
      <c r="CC8" s="75">
        <f t="shared" ref="CC8:CC44" si="46">SUM(BW8,BZ8)</f>
        <v>401</v>
      </c>
      <c r="CD8" s="76">
        <f t="shared" ref="CD8:CD44" si="47">SUM(BX8,CA8)</f>
        <v>351</v>
      </c>
      <c r="CE8" s="84">
        <f t="shared" ref="CE8:CE44" si="48">IFERROR(CD8/CC8,"-")</f>
        <v>0.87531172069825436</v>
      </c>
      <c r="CF8" s="77">
        <v>26</v>
      </c>
      <c r="CG8" s="78">
        <v>0</v>
      </c>
      <c r="CH8" s="79">
        <f t="shared" si="33"/>
        <v>0</v>
      </c>
      <c r="CI8" s="80">
        <v>48</v>
      </c>
      <c r="CJ8" s="80">
        <v>0</v>
      </c>
      <c r="CK8" s="81">
        <f t="shared" si="34"/>
        <v>0</v>
      </c>
      <c r="CL8" s="78">
        <v>36</v>
      </c>
      <c r="CM8" s="78">
        <v>0</v>
      </c>
      <c r="CN8" s="79">
        <f t="shared" si="35"/>
        <v>0</v>
      </c>
      <c r="CO8" s="80">
        <v>0</v>
      </c>
      <c r="CP8" s="80">
        <v>0</v>
      </c>
      <c r="CQ8" s="82" t="str">
        <f t="shared" si="36"/>
        <v>-</v>
      </c>
    </row>
    <row r="9" spans="1:95" s="17" customFormat="1" ht="21" customHeight="1" x14ac:dyDescent="0.2">
      <c r="A9" s="103">
        <v>3</v>
      </c>
      <c r="B9" s="104" t="s">
        <v>46</v>
      </c>
      <c r="C9" s="65" t="s">
        <v>15</v>
      </c>
      <c r="D9" s="66" t="s">
        <v>16</v>
      </c>
      <c r="E9" s="67">
        <v>0</v>
      </c>
      <c r="F9" s="68">
        <v>0</v>
      </c>
      <c r="G9" s="69">
        <v>0</v>
      </c>
      <c r="H9" s="69">
        <v>0</v>
      </c>
      <c r="I9" s="70">
        <f t="shared" si="37"/>
        <v>0</v>
      </c>
      <c r="J9" s="70">
        <f t="shared" si="38"/>
        <v>0</v>
      </c>
      <c r="K9" s="71" t="str">
        <f t="shared" si="39"/>
        <v>-</v>
      </c>
      <c r="L9" s="67">
        <v>0</v>
      </c>
      <c r="M9" s="68">
        <v>0</v>
      </c>
      <c r="N9" s="69">
        <v>0</v>
      </c>
      <c r="O9" s="69">
        <v>0</v>
      </c>
      <c r="P9" s="70">
        <f t="shared" si="2"/>
        <v>0</v>
      </c>
      <c r="Q9" s="70">
        <f t="shared" si="3"/>
        <v>0</v>
      </c>
      <c r="R9" s="71" t="str">
        <f t="shared" si="4"/>
        <v>-</v>
      </c>
      <c r="S9" s="67">
        <v>35</v>
      </c>
      <c r="T9" s="68">
        <f>S9-7</f>
        <v>28</v>
      </c>
      <c r="U9" s="69">
        <v>15</v>
      </c>
      <c r="V9" s="69">
        <v>15</v>
      </c>
      <c r="W9" s="70">
        <f t="shared" si="5"/>
        <v>50</v>
      </c>
      <c r="X9" s="70">
        <f t="shared" si="6"/>
        <v>43</v>
      </c>
      <c r="Y9" s="71">
        <f t="shared" si="7"/>
        <v>0.86</v>
      </c>
      <c r="Z9" s="67">
        <v>0</v>
      </c>
      <c r="AA9" s="68">
        <v>0</v>
      </c>
      <c r="AB9" s="69">
        <v>0</v>
      </c>
      <c r="AC9" s="69">
        <v>0</v>
      </c>
      <c r="AD9" s="70">
        <f t="shared" si="8"/>
        <v>0</v>
      </c>
      <c r="AE9" s="70">
        <f t="shared" si="9"/>
        <v>0</v>
      </c>
      <c r="AF9" s="71" t="str">
        <f t="shared" si="10"/>
        <v>-</v>
      </c>
      <c r="AG9" s="67">
        <v>0</v>
      </c>
      <c r="AH9" s="68">
        <v>0</v>
      </c>
      <c r="AI9" s="69">
        <v>0</v>
      </c>
      <c r="AJ9" s="69">
        <v>0</v>
      </c>
      <c r="AK9" s="70">
        <f t="shared" si="11"/>
        <v>0</v>
      </c>
      <c r="AL9" s="70">
        <f t="shared" si="12"/>
        <v>0</v>
      </c>
      <c r="AM9" s="71" t="str">
        <f t="shared" si="13"/>
        <v>-</v>
      </c>
      <c r="AN9" s="67">
        <v>39</v>
      </c>
      <c r="AO9" s="68">
        <f>AN9-4</f>
        <v>35</v>
      </c>
      <c r="AP9" s="69">
        <v>12</v>
      </c>
      <c r="AQ9" s="69">
        <v>12</v>
      </c>
      <c r="AR9" s="70">
        <f t="shared" si="14"/>
        <v>51</v>
      </c>
      <c r="AS9" s="70">
        <f t="shared" si="15"/>
        <v>47</v>
      </c>
      <c r="AT9" s="71">
        <f t="shared" si="16"/>
        <v>0.92156862745098034</v>
      </c>
      <c r="AU9" s="67">
        <v>0</v>
      </c>
      <c r="AV9" s="68">
        <v>0</v>
      </c>
      <c r="AW9" s="69">
        <v>0</v>
      </c>
      <c r="AX9" s="69">
        <v>0</v>
      </c>
      <c r="AY9" s="70">
        <f t="shared" si="17"/>
        <v>0</v>
      </c>
      <c r="AZ9" s="70">
        <f t="shared" si="18"/>
        <v>0</v>
      </c>
      <c r="BA9" s="71" t="str">
        <f t="shared" si="19"/>
        <v>-</v>
      </c>
      <c r="BB9" s="67">
        <v>29</v>
      </c>
      <c r="BC9" s="68">
        <f>BB9-3</f>
        <v>26</v>
      </c>
      <c r="BD9" s="69">
        <v>10</v>
      </c>
      <c r="BE9" s="69">
        <v>10</v>
      </c>
      <c r="BF9" s="70">
        <f t="shared" si="20"/>
        <v>39</v>
      </c>
      <c r="BG9" s="70">
        <f t="shared" si="21"/>
        <v>36</v>
      </c>
      <c r="BH9" s="71">
        <f t="shared" si="22"/>
        <v>0.92307692307692313</v>
      </c>
      <c r="BI9" s="67">
        <v>0</v>
      </c>
      <c r="BJ9" s="68">
        <v>0</v>
      </c>
      <c r="BK9" s="69">
        <v>0</v>
      </c>
      <c r="BL9" s="69">
        <v>0</v>
      </c>
      <c r="BM9" s="70">
        <f t="shared" si="23"/>
        <v>0</v>
      </c>
      <c r="BN9" s="70">
        <f t="shared" si="24"/>
        <v>0</v>
      </c>
      <c r="BO9" s="71" t="str">
        <f t="shared" si="25"/>
        <v>-</v>
      </c>
      <c r="BP9" s="67">
        <v>0</v>
      </c>
      <c r="BQ9" s="68">
        <v>0</v>
      </c>
      <c r="BR9" s="69">
        <v>0</v>
      </c>
      <c r="BS9" s="69">
        <v>0</v>
      </c>
      <c r="BT9" s="70">
        <f t="shared" si="26"/>
        <v>0</v>
      </c>
      <c r="BU9" s="70">
        <f t="shared" si="27"/>
        <v>0</v>
      </c>
      <c r="BV9" s="71" t="str">
        <f t="shared" si="28"/>
        <v>-</v>
      </c>
      <c r="BW9" s="67">
        <f t="shared" si="40"/>
        <v>103</v>
      </c>
      <c r="BX9" s="68">
        <f t="shared" si="41"/>
        <v>89</v>
      </c>
      <c r="BY9" s="72">
        <f t="shared" si="42"/>
        <v>0.86407766990291257</v>
      </c>
      <c r="BZ9" s="73">
        <f t="shared" si="43"/>
        <v>37</v>
      </c>
      <c r="CA9" s="69">
        <f t="shared" si="44"/>
        <v>37</v>
      </c>
      <c r="CB9" s="74">
        <f t="shared" si="45"/>
        <v>1</v>
      </c>
      <c r="CC9" s="75">
        <f t="shared" si="46"/>
        <v>140</v>
      </c>
      <c r="CD9" s="76">
        <f t="shared" si="47"/>
        <v>126</v>
      </c>
      <c r="CE9" s="84">
        <f t="shared" si="48"/>
        <v>0.9</v>
      </c>
      <c r="CF9" s="77">
        <v>0</v>
      </c>
      <c r="CG9" s="78">
        <v>0</v>
      </c>
      <c r="CH9" s="79" t="str">
        <f t="shared" si="33"/>
        <v>-</v>
      </c>
      <c r="CI9" s="80">
        <v>0</v>
      </c>
      <c r="CJ9" s="80">
        <v>0</v>
      </c>
      <c r="CK9" s="81" t="str">
        <f t="shared" si="34"/>
        <v>-</v>
      </c>
      <c r="CL9" s="78">
        <v>0</v>
      </c>
      <c r="CM9" s="78">
        <v>0</v>
      </c>
      <c r="CN9" s="79" t="str">
        <f t="shared" si="35"/>
        <v>-</v>
      </c>
      <c r="CO9" s="80">
        <v>0</v>
      </c>
      <c r="CP9" s="80">
        <v>0</v>
      </c>
      <c r="CQ9" s="82" t="str">
        <f t="shared" si="36"/>
        <v>-</v>
      </c>
    </row>
    <row r="10" spans="1:95" s="17" customFormat="1" ht="21" customHeight="1" x14ac:dyDescent="0.2">
      <c r="A10" s="103">
        <v>4</v>
      </c>
      <c r="B10" s="104" t="s">
        <v>36</v>
      </c>
      <c r="C10" s="65" t="s">
        <v>15</v>
      </c>
      <c r="D10" s="66" t="s">
        <v>16</v>
      </c>
      <c r="E10" s="67">
        <v>0</v>
      </c>
      <c r="F10" s="68">
        <v>0</v>
      </c>
      <c r="G10" s="69">
        <v>0</v>
      </c>
      <c r="H10" s="69">
        <v>0</v>
      </c>
      <c r="I10" s="70">
        <f t="shared" si="37"/>
        <v>0</v>
      </c>
      <c r="J10" s="70">
        <f t="shared" si="38"/>
        <v>0</v>
      </c>
      <c r="K10" s="71" t="str">
        <f t="shared" si="39"/>
        <v>-</v>
      </c>
      <c r="L10" s="67">
        <v>0</v>
      </c>
      <c r="M10" s="68">
        <v>0</v>
      </c>
      <c r="N10" s="69">
        <v>0</v>
      </c>
      <c r="O10" s="69">
        <v>0</v>
      </c>
      <c r="P10" s="70">
        <f t="shared" si="2"/>
        <v>0</v>
      </c>
      <c r="Q10" s="70">
        <f t="shared" si="3"/>
        <v>0</v>
      </c>
      <c r="R10" s="71" t="str">
        <f t="shared" si="4"/>
        <v>-</v>
      </c>
      <c r="S10" s="67">
        <v>40</v>
      </c>
      <c r="T10" s="68">
        <v>36</v>
      </c>
      <c r="U10" s="69">
        <v>11</v>
      </c>
      <c r="V10" s="69">
        <v>10</v>
      </c>
      <c r="W10" s="70">
        <f t="shared" si="5"/>
        <v>51</v>
      </c>
      <c r="X10" s="70">
        <f t="shared" si="6"/>
        <v>46</v>
      </c>
      <c r="Y10" s="71">
        <f t="shared" si="7"/>
        <v>0.90196078431372551</v>
      </c>
      <c r="Z10" s="67">
        <v>0</v>
      </c>
      <c r="AA10" s="68">
        <v>0</v>
      </c>
      <c r="AB10" s="69">
        <v>0</v>
      </c>
      <c r="AC10" s="69">
        <v>0</v>
      </c>
      <c r="AD10" s="70">
        <f t="shared" si="8"/>
        <v>0</v>
      </c>
      <c r="AE10" s="70">
        <f t="shared" si="9"/>
        <v>0</v>
      </c>
      <c r="AF10" s="71" t="str">
        <f t="shared" si="10"/>
        <v>-</v>
      </c>
      <c r="AG10" s="67">
        <v>0</v>
      </c>
      <c r="AH10" s="68">
        <v>0</v>
      </c>
      <c r="AI10" s="69">
        <v>0</v>
      </c>
      <c r="AJ10" s="69">
        <v>0</v>
      </c>
      <c r="AK10" s="70">
        <f t="shared" si="11"/>
        <v>0</v>
      </c>
      <c r="AL10" s="70">
        <f t="shared" si="12"/>
        <v>0</v>
      </c>
      <c r="AM10" s="71" t="str">
        <f t="shared" si="13"/>
        <v>-</v>
      </c>
      <c r="AN10" s="67">
        <v>41</v>
      </c>
      <c r="AO10" s="68">
        <v>36</v>
      </c>
      <c r="AP10" s="69">
        <v>59</v>
      </c>
      <c r="AQ10" s="69">
        <v>53</v>
      </c>
      <c r="AR10" s="70">
        <f t="shared" si="14"/>
        <v>100</v>
      </c>
      <c r="AS10" s="70">
        <f t="shared" si="15"/>
        <v>89</v>
      </c>
      <c r="AT10" s="71">
        <f t="shared" si="16"/>
        <v>0.89</v>
      </c>
      <c r="AU10" s="67">
        <v>0</v>
      </c>
      <c r="AV10" s="68">
        <v>0</v>
      </c>
      <c r="AW10" s="69">
        <v>0</v>
      </c>
      <c r="AX10" s="69">
        <v>0</v>
      </c>
      <c r="AY10" s="70">
        <f t="shared" si="17"/>
        <v>0</v>
      </c>
      <c r="AZ10" s="70">
        <f t="shared" si="18"/>
        <v>0</v>
      </c>
      <c r="BA10" s="71" t="str">
        <f t="shared" si="19"/>
        <v>-</v>
      </c>
      <c r="BB10" s="67">
        <v>32</v>
      </c>
      <c r="BC10" s="68">
        <v>28</v>
      </c>
      <c r="BD10" s="69">
        <v>16</v>
      </c>
      <c r="BE10" s="69">
        <v>13</v>
      </c>
      <c r="BF10" s="70">
        <f t="shared" si="20"/>
        <v>48</v>
      </c>
      <c r="BG10" s="70">
        <f t="shared" si="21"/>
        <v>41</v>
      </c>
      <c r="BH10" s="71">
        <f t="shared" si="22"/>
        <v>0.85416666666666663</v>
      </c>
      <c r="BI10" s="67">
        <v>0</v>
      </c>
      <c r="BJ10" s="68">
        <v>0</v>
      </c>
      <c r="BK10" s="69">
        <v>0</v>
      </c>
      <c r="BL10" s="69">
        <v>0</v>
      </c>
      <c r="BM10" s="70">
        <f t="shared" si="23"/>
        <v>0</v>
      </c>
      <c r="BN10" s="70">
        <f t="shared" si="24"/>
        <v>0</v>
      </c>
      <c r="BO10" s="71" t="str">
        <f t="shared" si="25"/>
        <v>-</v>
      </c>
      <c r="BP10" s="67">
        <v>0</v>
      </c>
      <c r="BQ10" s="68">
        <v>0</v>
      </c>
      <c r="BR10" s="69">
        <v>0</v>
      </c>
      <c r="BS10" s="69">
        <v>0</v>
      </c>
      <c r="BT10" s="70">
        <f t="shared" si="26"/>
        <v>0</v>
      </c>
      <c r="BU10" s="70">
        <f t="shared" si="27"/>
        <v>0</v>
      </c>
      <c r="BV10" s="71" t="str">
        <f t="shared" si="28"/>
        <v>-</v>
      </c>
      <c r="BW10" s="67">
        <f t="shared" si="40"/>
        <v>113</v>
      </c>
      <c r="BX10" s="68">
        <f t="shared" si="41"/>
        <v>100</v>
      </c>
      <c r="BY10" s="72">
        <f t="shared" si="42"/>
        <v>0.88495575221238942</v>
      </c>
      <c r="BZ10" s="73">
        <f t="shared" si="43"/>
        <v>86</v>
      </c>
      <c r="CA10" s="69">
        <f t="shared" si="44"/>
        <v>76</v>
      </c>
      <c r="CB10" s="74">
        <f t="shared" si="45"/>
        <v>0.88372093023255816</v>
      </c>
      <c r="CC10" s="75">
        <f t="shared" si="46"/>
        <v>199</v>
      </c>
      <c r="CD10" s="76">
        <f t="shared" si="47"/>
        <v>176</v>
      </c>
      <c r="CE10" s="84">
        <f t="shared" si="48"/>
        <v>0.88442211055276387</v>
      </c>
      <c r="CF10" s="77">
        <v>0</v>
      </c>
      <c r="CG10" s="78">
        <v>0</v>
      </c>
      <c r="CH10" s="79" t="str">
        <f t="shared" si="33"/>
        <v>-</v>
      </c>
      <c r="CI10" s="80">
        <v>0</v>
      </c>
      <c r="CJ10" s="80">
        <v>0</v>
      </c>
      <c r="CK10" s="81" t="str">
        <f t="shared" si="34"/>
        <v>-</v>
      </c>
      <c r="CL10" s="78">
        <v>0</v>
      </c>
      <c r="CM10" s="78">
        <v>0</v>
      </c>
      <c r="CN10" s="79" t="str">
        <f t="shared" si="35"/>
        <v>-</v>
      </c>
      <c r="CO10" s="80">
        <v>0</v>
      </c>
      <c r="CP10" s="80">
        <v>0</v>
      </c>
      <c r="CQ10" s="82" t="str">
        <f t="shared" si="36"/>
        <v>-</v>
      </c>
    </row>
    <row r="11" spans="1:95" s="17" customFormat="1" ht="21" customHeight="1" x14ac:dyDescent="0.2">
      <c r="A11" s="103">
        <v>5</v>
      </c>
      <c r="B11" s="104" t="s">
        <v>34</v>
      </c>
      <c r="C11" s="65" t="s">
        <v>15</v>
      </c>
      <c r="D11" s="66" t="s">
        <v>16</v>
      </c>
      <c r="E11" s="67">
        <v>0</v>
      </c>
      <c r="F11" s="68">
        <v>0</v>
      </c>
      <c r="G11" s="69">
        <v>0</v>
      </c>
      <c r="H11" s="69">
        <v>0</v>
      </c>
      <c r="I11" s="70">
        <f t="shared" si="37"/>
        <v>0</v>
      </c>
      <c r="J11" s="70">
        <f t="shared" si="38"/>
        <v>0</v>
      </c>
      <c r="K11" s="71" t="str">
        <f t="shared" si="39"/>
        <v>-</v>
      </c>
      <c r="L11" s="67">
        <v>44</v>
      </c>
      <c r="M11" s="68">
        <v>40</v>
      </c>
      <c r="N11" s="69">
        <v>0</v>
      </c>
      <c r="O11" s="69">
        <v>0</v>
      </c>
      <c r="P11" s="70">
        <f t="shared" si="2"/>
        <v>44</v>
      </c>
      <c r="Q11" s="70">
        <f t="shared" si="3"/>
        <v>40</v>
      </c>
      <c r="R11" s="71">
        <f t="shared" si="4"/>
        <v>0.90909090909090906</v>
      </c>
      <c r="S11" s="67">
        <v>31</v>
      </c>
      <c r="T11" s="68">
        <v>29</v>
      </c>
      <c r="U11" s="69">
        <v>15</v>
      </c>
      <c r="V11" s="69">
        <v>13</v>
      </c>
      <c r="W11" s="70">
        <f t="shared" si="5"/>
        <v>46</v>
      </c>
      <c r="X11" s="70">
        <f t="shared" si="6"/>
        <v>42</v>
      </c>
      <c r="Y11" s="71">
        <f t="shared" si="7"/>
        <v>0.91304347826086951</v>
      </c>
      <c r="Z11" s="67">
        <v>0</v>
      </c>
      <c r="AA11" s="68">
        <v>0</v>
      </c>
      <c r="AB11" s="69">
        <v>0</v>
      </c>
      <c r="AC11" s="69">
        <v>0</v>
      </c>
      <c r="AD11" s="70">
        <f t="shared" si="8"/>
        <v>0</v>
      </c>
      <c r="AE11" s="70">
        <f t="shared" si="9"/>
        <v>0</v>
      </c>
      <c r="AF11" s="71" t="str">
        <f t="shared" si="10"/>
        <v>-</v>
      </c>
      <c r="AG11" s="67">
        <v>27</v>
      </c>
      <c r="AH11" s="68">
        <v>25</v>
      </c>
      <c r="AI11" s="69">
        <v>7</v>
      </c>
      <c r="AJ11" s="69">
        <v>6</v>
      </c>
      <c r="AK11" s="70">
        <f t="shared" si="11"/>
        <v>34</v>
      </c>
      <c r="AL11" s="70">
        <f t="shared" si="12"/>
        <v>31</v>
      </c>
      <c r="AM11" s="71">
        <f t="shared" si="13"/>
        <v>0.91176470588235292</v>
      </c>
      <c r="AN11" s="67">
        <v>17</v>
      </c>
      <c r="AO11" s="68">
        <v>16</v>
      </c>
      <c r="AP11" s="69">
        <v>24</v>
      </c>
      <c r="AQ11" s="69">
        <v>20</v>
      </c>
      <c r="AR11" s="70">
        <f t="shared" si="14"/>
        <v>41</v>
      </c>
      <c r="AS11" s="70">
        <f t="shared" si="15"/>
        <v>36</v>
      </c>
      <c r="AT11" s="71">
        <f t="shared" si="16"/>
        <v>0.87804878048780488</v>
      </c>
      <c r="AU11" s="67">
        <v>0</v>
      </c>
      <c r="AV11" s="68">
        <v>0</v>
      </c>
      <c r="AW11" s="69">
        <v>0</v>
      </c>
      <c r="AX11" s="69">
        <v>0</v>
      </c>
      <c r="AY11" s="70">
        <f t="shared" si="17"/>
        <v>0</v>
      </c>
      <c r="AZ11" s="70">
        <f t="shared" si="18"/>
        <v>0</v>
      </c>
      <c r="BA11" s="71" t="str">
        <f t="shared" si="19"/>
        <v>-</v>
      </c>
      <c r="BB11" s="67">
        <v>31</v>
      </c>
      <c r="BC11" s="68">
        <v>28</v>
      </c>
      <c r="BD11" s="69">
        <v>16</v>
      </c>
      <c r="BE11" s="69">
        <v>15</v>
      </c>
      <c r="BF11" s="70">
        <f t="shared" si="20"/>
        <v>47</v>
      </c>
      <c r="BG11" s="70">
        <f t="shared" si="21"/>
        <v>43</v>
      </c>
      <c r="BH11" s="71">
        <f t="shared" si="22"/>
        <v>0.91489361702127658</v>
      </c>
      <c r="BI11" s="67">
        <v>0</v>
      </c>
      <c r="BJ11" s="68">
        <v>0</v>
      </c>
      <c r="BK11" s="69">
        <v>0</v>
      </c>
      <c r="BL11" s="69">
        <v>0</v>
      </c>
      <c r="BM11" s="70">
        <f t="shared" si="23"/>
        <v>0</v>
      </c>
      <c r="BN11" s="70">
        <f t="shared" si="24"/>
        <v>0</v>
      </c>
      <c r="BO11" s="71" t="str">
        <f t="shared" si="25"/>
        <v>-</v>
      </c>
      <c r="BP11" s="67">
        <v>15</v>
      </c>
      <c r="BQ11" s="68">
        <v>14</v>
      </c>
      <c r="BR11" s="69">
        <v>14</v>
      </c>
      <c r="BS11" s="69">
        <v>13</v>
      </c>
      <c r="BT11" s="70">
        <f t="shared" si="26"/>
        <v>29</v>
      </c>
      <c r="BU11" s="70">
        <f t="shared" si="27"/>
        <v>27</v>
      </c>
      <c r="BV11" s="71">
        <f t="shared" si="28"/>
        <v>0.93103448275862066</v>
      </c>
      <c r="BW11" s="67">
        <f t="shared" si="40"/>
        <v>165</v>
      </c>
      <c r="BX11" s="68">
        <f t="shared" si="41"/>
        <v>152</v>
      </c>
      <c r="BY11" s="72">
        <f t="shared" si="42"/>
        <v>0.92121212121212126</v>
      </c>
      <c r="BZ11" s="73">
        <f t="shared" si="43"/>
        <v>76</v>
      </c>
      <c r="CA11" s="69">
        <f t="shared" si="44"/>
        <v>67</v>
      </c>
      <c r="CB11" s="74">
        <f t="shared" si="45"/>
        <v>0.88157894736842102</v>
      </c>
      <c r="CC11" s="75">
        <f t="shared" si="46"/>
        <v>241</v>
      </c>
      <c r="CD11" s="76">
        <f t="shared" si="47"/>
        <v>219</v>
      </c>
      <c r="CE11" s="84">
        <f t="shared" si="48"/>
        <v>0.90871369294605808</v>
      </c>
      <c r="CF11" s="77">
        <v>0</v>
      </c>
      <c r="CG11" s="78">
        <v>0</v>
      </c>
      <c r="CH11" s="79" t="str">
        <f t="shared" ref="CH11:CH12" si="49">IFERROR(CG11/CF11,"-")</f>
        <v>-</v>
      </c>
      <c r="CI11" s="80">
        <v>0</v>
      </c>
      <c r="CJ11" s="80">
        <v>0</v>
      </c>
      <c r="CK11" s="81" t="str">
        <f t="shared" ref="CK11:CK12" si="50">IFERROR(CJ11/CI11,"-")</f>
        <v>-</v>
      </c>
      <c r="CL11" s="78">
        <v>0</v>
      </c>
      <c r="CM11" s="78">
        <v>0</v>
      </c>
      <c r="CN11" s="79" t="str">
        <f t="shared" ref="CN11:CN12" si="51">IFERROR(CM11/CL11,"-")</f>
        <v>-</v>
      </c>
      <c r="CO11" s="80">
        <v>0</v>
      </c>
      <c r="CP11" s="80">
        <v>0</v>
      </c>
      <c r="CQ11" s="82" t="str">
        <f t="shared" ref="CQ11:CQ12" si="52">IFERROR(CP11/CO11,"-")</f>
        <v>-</v>
      </c>
    </row>
    <row r="12" spans="1:95" s="17" customFormat="1" ht="21" customHeight="1" x14ac:dyDescent="0.2">
      <c r="A12" s="103">
        <v>6</v>
      </c>
      <c r="B12" s="104" t="s">
        <v>42</v>
      </c>
      <c r="C12" s="65" t="s">
        <v>56</v>
      </c>
      <c r="D12" s="66" t="s">
        <v>16</v>
      </c>
      <c r="E12" s="67">
        <v>161</v>
      </c>
      <c r="F12" s="68">
        <v>149</v>
      </c>
      <c r="G12" s="69">
        <v>0</v>
      </c>
      <c r="H12" s="69">
        <v>0</v>
      </c>
      <c r="I12" s="70">
        <f t="shared" si="37"/>
        <v>161</v>
      </c>
      <c r="J12" s="70">
        <f t="shared" si="38"/>
        <v>149</v>
      </c>
      <c r="K12" s="71">
        <f t="shared" si="39"/>
        <v>0.92546583850931674</v>
      </c>
      <c r="L12" s="67">
        <v>236</v>
      </c>
      <c r="M12" s="68">
        <v>216</v>
      </c>
      <c r="N12" s="69">
        <v>0</v>
      </c>
      <c r="O12" s="69">
        <v>0</v>
      </c>
      <c r="P12" s="70">
        <f t="shared" si="2"/>
        <v>236</v>
      </c>
      <c r="Q12" s="70">
        <f t="shared" si="3"/>
        <v>216</v>
      </c>
      <c r="R12" s="71">
        <f t="shared" si="4"/>
        <v>0.9152542372881356</v>
      </c>
      <c r="S12" s="67">
        <v>0</v>
      </c>
      <c r="T12" s="68">
        <v>0</v>
      </c>
      <c r="U12" s="69">
        <v>0</v>
      </c>
      <c r="V12" s="69">
        <v>0</v>
      </c>
      <c r="W12" s="70">
        <f t="shared" si="5"/>
        <v>0</v>
      </c>
      <c r="X12" s="70">
        <f t="shared" si="6"/>
        <v>0</v>
      </c>
      <c r="Y12" s="71" t="str">
        <f t="shared" si="7"/>
        <v>-</v>
      </c>
      <c r="Z12" s="67">
        <v>0</v>
      </c>
      <c r="AA12" s="68">
        <v>0</v>
      </c>
      <c r="AB12" s="69">
        <v>0</v>
      </c>
      <c r="AC12" s="69">
        <v>0</v>
      </c>
      <c r="AD12" s="70">
        <f t="shared" si="8"/>
        <v>0</v>
      </c>
      <c r="AE12" s="70">
        <f t="shared" si="9"/>
        <v>0</v>
      </c>
      <c r="AF12" s="71" t="str">
        <f t="shared" si="10"/>
        <v>-</v>
      </c>
      <c r="AG12" s="67">
        <v>0</v>
      </c>
      <c r="AH12" s="68">
        <v>0</v>
      </c>
      <c r="AI12" s="69">
        <v>0</v>
      </c>
      <c r="AJ12" s="69">
        <v>0</v>
      </c>
      <c r="AK12" s="70">
        <f t="shared" si="11"/>
        <v>0</v>
      </c>
      <c r="AL12" s="70">
        <f t="shared" si="12"/>
        <v>0</v>
      </c>
      <c r="AM12" s="71" t="str">
        <f t="shared" si="13"/>
        <v>-</v>
      </c>
      <c r="AN12" s="67">
        <v>0</v>
      </c>
      <c r="AO12" s="68">
        <v>0</v>
      </c>
      <c r="AP12" s="69">
        <v>0</v>
      </c>
      <c r="AQ12" s="69">
        <v>0</v>
      </c>
      <c r="AR12" s="70">
        <f t="shared" si="14"/>
        <v>0</v>
      </c>
      <c r="AS12" s="70">
        <f t="shared" si="15"/>
        <v>0</v>
      </c>
      <c r="AT12" s="71" t="str">
        <f t="shared" si="16"/>
        <v>-</v>
      </c>
      <c r="AU12" s="67">
        <v>153</v>
      </c>
      <c r="AV12" s="68">
        <v>140</v>
      </c>
      <c r="AW12" s="69">
        <v>0</v>
      </c>
      <c r="AX12" s="69">
        <v>0</v>
      </c>
      <c r="AY12" s="70">
        <f t="shared" si="17"/>
        <v>153</v>
      </c>
      <c r="AZ12" s="70">
        <f t="shared" si="18"/>
        <v>140</v>
      </c>
      <c r="BA12" s="71">
        <f t="shared" si="19"/>
        <v>0.91503267973856206</v>
      </c>
      <c r="BB12" s="67">
        <v>0</v>
      </c>
      <c r="BC12" s="68">
        <v>0</v>
      </c>
      <c r="BD12" s="69">
        <v>0</v>
      </c>
      <c r="BE12" s="69">
        <v>0</v>
      </c>
      <c r="BF12" s="70">
        <f t="shared" si="20"/>
        <v>0</v>
      </c>
      <c r="BG12" s="70">
        <f t="shared" si="21"/>
        <v>0</v>
      </c>
      <c r="BH12" s="71" t="str">
        <f t="shared" si="22"/>
        <v>-</v>
      </c>
      <c r="BI12" s="67">
        <v>0</v>
      </c>
      <c r="BJ12" s="68">
        <v>0</v>
      </c>
      <c r="BK12" s="69">
        <v>0</v>
      </c>
      <c r="BL12" s="69">
        <v>0</v>
      </c>
      <c r="BM12" s="70">
        <f t="shared" si="23"/>
        <v>0</v>
      </c>
      <c r="BN12" s="70">
        <f t="shared" si="24"/>
        <v>0</v>
      </c>
      <c r="BO12" s="71" t="str">
        <f t="shared" si="25"/>
        <v>-</v>
      </c>
      <c r="BP12" s="67">
        <v>0</v>
      </c>
      <c r="BQ12" s="68">
        <v>0</v>
      </c>
      <c r="BR12" s="69">
        <v>0</v>
      </c>
      <c r="BS12" s="69">
        <v>0</v>
      </c>
      <c r="BT12" s="70">
        <f t="shared" si="26"/>
        <v>0</v>
      </c>
      <c r="BU12" s="70">
        <f t="shared" si="27"/>
        <v>0</v>
      </c>
      <c r="BV12" s="71" t="str">
        <f t="shared" si="28"/>
        <v>-</v>
      </c>
      <c r="BW12" s="67">
        <f t="shared" si="40"/>
        <v>550</v>
      </c>
      <c r="BX12" s="68">
        <f t="shared" si="41"/>
        <v>505</v>
      </c>
      <c r="BY12" s="72">
        <f t="shared" si="42"/>
        <v>0.91818181818181821</v>
      </c>
      <c r="BZ12" s="73">
        <f t="shared" si="43"/>
        <v>0</v>
      </c>
      <c r="CA12" s="69">
        <f t="shared" si="44"/>
        <v>0</v>
      </c>
      <c r="CB12" s="74" t="str">
        <f t="shared" si="45"/>
        <v>-</v>
      </c>
      <c r="CC12" s="75">
        <f t="shared" si="46"/>
        <v>550</v>
      </c>
      <c r="CD12" s="76">
        <f t="shared" si="47"/>
        <v>505</v>
      </c>
      <c r="CE12" s="84">
        <f t="shared" si="48"/>
        <v>0.91818181818181821</v>
      </c>
      <c r="CF12" s="77">
        <v>45</v>
      </c>
      <c r="CG12" s="78">
        <v>45</v>
      </c>
      <c r="CH12" s="79">
        <f t="shared" si="49"/>
        <v>1</v>
      </c>
      <c r="CI12" s="80">
        <v>53</v>
      </c>
      <c r="CJ12" s="80">
        <v>53</v>
      </c>
      <c r="CK12" s="81">
        <f t="shared" si="50"/>
        <v>1</v>
      </c>
      <c r="CL12" s="78">
        <v>91</v>
      </c>
      <c r="CM12" s="78">
        <v>91</v>
      </c>
      <c r="CN12" s="79">
        <f t="shared" si="51"/>
        <v>1</v>
      </c>
      <c r="CO12" s="80">
        <v>107</v>
      </c>
      <c r="CP12" s="80">
        <v>107</v>
      </c>
      <c r="CQ12" s="82">
        <f t="shared" si="52"/>
        <v>1</v>
      </c>
    </row>
    <row r="13" spans="1:95" s="17" customFormat="1" ht="21" customHeight="1" x14ac:dyDescent="0.2">
      <c r="A13" s="103">
        <v>7</v>
      </c>
      <c r="B13" s="104" t="s">
        <v>43</v>
      </c>
      <c r="C13" s="65" t="s">
        <v>15</v>
      </c>
      <c r="D13" s="66" t="s">
        <v>16</v>
      </c>
      <c r="E13" s="67">
        <v>0</v>
      </c>
      <c r="F13" s="68">
        <v>0</v>
      </c>
      <c r="G13" s="69">
        <v>0</v>
      </c>
      <c r="H13" s="69">
        <v>0</v>
      </c>
      <c r="I13" s="70">
        <f t="shared" si="37"/>
        <v>0</v>
      </c>
      <c r="J13" s="70">
        <f t="shared" si="38"/>
        <v>0</v>
      </c>
      <c r="K13" s="71" t="str">
        <f t="shared" si="39"/>
        <v>-</v>
      </c>
      <c r="L13" s="67">
        <v>0</v>
      </c>
      <c r="M13" s="68">
        <v>0</v>
      </c>
      <c r="N13" s="69">
        <v>0</v>
      </c>
      <c r="O13" s="69">
        <v>0</v>
      </c>
      <c r="P13" s="70">
        <f t="shared" si="2"/>
        <v>0</v>
      </c>
      <c r="Q13" s="70">
        <f t="shared" si="3"/>
        <v>0</v>
      </c>
      <c r="R13" s="71" t="str">
        <f t="shared" si="4"/>
        <v>-</v>
      </c>
      <c r="S13" s="67">
        <v>116</v>
      </c>
      <c r="T13" s="68">
        <v>100</v>
      </c>
      <c r="U13" s="69">
        <v>38</v>
      </c>
      <c r="V13" s="69">
        <v>34</v>
      </c>
      <c r="W13" s="70">
        <f t="shared" si="5"/>
        <v>154</v>
      </c>
      <c r="X13" s="70">
        <f t="shared" si="6"/>
        <v>134</v>
      </c>
      <c r="Y13" s="71">
        <f t="shared" si="7"/>
        <v>0.87012987012987009</v>
      </c>
      <c r="Z13" s="67">
        <v>0</v>
      </c>
      <c r="AA13" s="68">
        <v>0</v>
      </c>
      <c r="AB13" s="69">
        <v>0</v>
      </c>
      <c r="AC13" s="69">
        <v>0</v>
      </c>
      <c r="AD13" s="70">
        <f t="shared" si="8"/>
        <v>0</v>
      </c>
      <c r="AE13" s="70">
        <f t="shared" si="9"/>
        <v>0</v>
      </c>
      <c r="AF13" s="71" t="str">
        <f t="shared" si="10"/>
        <v>-</v>
      </c>
      <c r="AG13" s="67">
        <v>55</v>
      </c>
      <c r="AH13" s="68">
        <v>54</v>
      </c>
      <c r="AI13" s="69">
        <v>0</v>
      </c>
      <c r="AJ13" s="69">
        <v>0</v>
      </c>
      <c r="AK13" s="70">
        <f t="shared" si="11"/>
        <v>55</v>
      </c>
      <c r="AL13" s="70">
        <f t="shared" si="12"/>
        <v>54</v>
      </c>
      <c r="AM13" s="71">
        <f t="shared" si="13"/>
        <v>0.98181818181818181</v>
      </c>
      <c r="AN13" s="67">
        <v>60</v>
      </c>
      <c r="AO13" s="68">
        <v>47</v>
      </c>
      <c r="AP13" s="69">
        <v>52</v>
      </c>
      <c r="AQ13" s="69">
        <v>51</v>
      </c>
      <c r="AR13" s="70">
        <f t="shared" si="14"/>
        <v>112</v>
      </c>
      <c r="AS13" s="70">
        <f t="shared" si="15"/>
        <v>98</v>
      </c>
      <c r="AT13" s="71">
        <f t="shared" si="16"/>
        <v>0.875</v>
      </c>
      <c r="AU13" s="67">
        <v>0</v>
      </c>
      <c r="AV13" s="68">
        <v>0</v>
      </c>
      <c r="AW13" s="69">
        <v>0</v>
      </c>
      <c r="AX13" s="69">
        <v>0</v>
      </c>
      <c r="AY13" s="70">
        <f t="shared" si="17"/>
        <v>0</v>
      </c>
      <c r="AZ13" s="70">
        <f t="shared" si="18"/>
        <v>0</v>
      </c>
      <c r="BA13" s="71" t="str">
        <f t="shared" si="19"/>
        <v>-</v>
      </c>
      <c r="BB13" s="67">
        <v>48</v>
      </c>
      <c r="BC13" s="68">
        <v>47</v>
      </c>
      <c r="BD13" s="69">
        <v>17</v>
      </c>
      <c r="BE13" s="69">
        <v>16</v>
      </c>
      <c r="BF13" s="70">
        <f t="shared" si="20"/>
        <v>65</v>
      </c>
      <c r="BG13" s="70">
        <f t="shared" si="21"/>
        <v>63</v>
      </c>
      <c r="BH13" s="71">
        <f t="shared" si="22"/>
        <v>0.96923076923076923</v>
      </c>
      <c r="BI13" s="67">
        <v>0</v>
      </c>
      <c r="BJ13" s="68">
        <v>0</v>
      </c>
      <c r="BK13" s="69">
        <v>0</v>
      </c>
      <c r="BL13" s="69">
        <v>0</v>
      </c>
      <c r="BM13" s="70">
        <f t="shared" si="23"/>
        <v>0</v>
      </c>
      <c r="BN13" s="70">
        <f t="shared" si="24"/>
        <v>0</v>
      </c>
      <c r="BO13" s="71" t="str">
        <f t="shared" si="25"/>
        <v>-</v>
      </c>
      <c r="BP13" s="67">
        <v>0</v>
      </c>
      <c r="BQ13" s="68">
        <v>0</v>
      </c>
      <c r="BR13" s="69">
        <v>0</v>
      </c>
      <c r="BS13" s="69">
        <v>0</v>
      </c>
      <c r="BT13" s="70">
        <f t="shared" si="26"/>
        <v>0</v>
      </c>
      <c r="BU13" s="70">
        <f t="shared" si="27"/>
        <v>0</v>
      </c>
      <c r="BV13" s="71" t="str">
        <f t="shared" si="28"/>
        <v>-</v>
      </c>
      <c r="BW13" s="67">
        <f t="shared" si="40"/>
        <v>279</v>
      </c>
      <c r="BX13" s="68">
        <f t="shared" si="41"/>
        <v>248</v>
      </c>
      <c r="BY13" s="72">
        <f t="shared" si="42"/>
        <v>0.88888888888888884</v>
      </c>
      <c r="BZ13" s="73">
        <f t="shared" si="43"/>
        <v>107</v>
      </c>
      <c r="CA13" s="69">
        <f t="shared" si="44"/>
        <v>101</v>
      </c>
      <c r="CB13" s="74">
        <f t="shared" si="45"/>
        <v>0.94392523364485981</v>
      </c>
      <c r="CC13" s="75">
        <f t="shared" si="46"/>
        <v>386</v>
      </c>
      <c r="CD13" s="76">
        <f t="shared" si="47"/>
        <v>349</v>
      </c>
      <c r="CE13" s="84">
        <f t="shared" si="48"/>
        <v>0.90414507772020725</v>
      </c>
      <c r="CF13" s="77">
        <v>0</v>
      </c>
      <c r="CG13" s="78">
        <v>0</v>
      </c>
      <c r="CH13" s="79" t="str">
        <f t="shared" ref="CH13" si="53">IFERROR(CG13/CF13,"-")</f>
        <v>-</v>
      </c>
      <c r="CI13" s="80">
        <v>0</v>
      </c>
      <c r="CJ13" s="80">
        <v>0</v>
      </c>
      <c r="CK13" s="81" t="str">
        <f t="shared" ref="CK13" si="54">IFERROR(CJ13/CI13,"-")</f>
        <v>-</v>
      </c>
      <c r="CL13" s="78">
        <v>0</v>
      </c>
      <c r="CM13" s="78">
        <v>0</v>
      </c>
      <c r="CN13" s="79" t="str">
        <f t="shared" ref="CN13" si="55">IFERROR(CM13/CL13,"-")</f>
        <v>-</v>
      </c>
      <c r="CO13" s="80">
        <v>0</v>
      </c>
      <c r="CP13" s="80">
        <v>0</v>
      </c>
      <c r="CQ13" s="82" t="str">
        <f t="shared" ref="CQ13" si="56">IFERROR(CP13/CO13,"-")</f>
        <v>-</v>
      </c>
    </row>
    <row r="14" spans="1:95" s="17" customFormat="1" ht="21" customHeight="1" x14ac:dyDescent="0.2">
      <c r="A14" s="103">
        <v>8</v>
      </c>
      <c r="B14" s="104" t="s">
        <v>60</v>
      </c>
      <c r="C14" s="65" t="s">
        <v>56</v>
      </c>
      <c r="D14" s="66" t="s">
        <v>16</v>
      </c>
      <c r="E14" s="67">
        <v>0</v>
      </c>
      <c r="F14" s="68">
        <v>0</v>
      </c>
      <c r="G14" s="69">
        <v>0</v>
      </c>
      <c r="H14" s="69">
        <v>0</v>
      </c>
      <c r="I14" s="70">
        <f t="shared" si="37"/>
        <v>0</v>
      </c>
      <c r="J14" s="70">
        <f t="shared" si="38"/>
        <v>0</v>
      </c>
      <c r="K14" s="71" t="str">
        <f t="shared" si="39"/>
        <v>-</v>
      </c>
      <c r="L14" s="67">
        <v>0</v>
      </c>
      <c r="M14" s="68">
        <v>0</v>
      </c>
      <c r="N14" s="69">
        <v>0</v>
      </c>
      <c r="O14" s="69">
        <v>0</v>
      </c>
      <c r="P14" s="70">
        <f t="shared" si="2"/>
        <v>0</v>
      </c>
      <c r="Q14" s="70">
        <f t="shared" si="3"/>
        <v>0</v>
      </c>
      <c r="R14" s="71" t="str">
        <f t="shared" si="4"/>
        <v>-</v>
      </c>
      <c r="S14" s="67"/>
      <c r="T14" s="68">
        <v>0</v>
      </c>
      <c r="U14" s="69">
        <v>0</v>
      </c>
      <c r="V14" s="69">
        <v>0</v>
      </c>
      <c r="W14" s="70">
        <f t="shared" si="5"/>
        <v>0</v>
      </c>
      <c r="X14" s="70">
        <f t="shared" si="6"/>
        <v>0</v>
      </c>
      <c r="Y14" s="71" t="str">
        <f t="shared" si="7"/>
        <v>-</v>
      </c>
      <c r="Z14" s="67">
        <v>0</v>
      </c>
      <c r="AA14" s="68">
        <v>0</v>
      </c>
      <c r="AB14" s="69">
        <v>0</v>
      </c>
      <c r="AC14" s="69">
        <v>0</v>
      </c>
      <c r="AD14" s="70">
        <f t="shared" si="8"/>
        <v>0</v>
      </c>
      <c r="AE14" s="70">
        <f t="shared" si="9"/>
        <v>0</v>
      </c>
      <c r="AF14" s="71" t="str">
        <f t="shared" si="10"/>
        <v>-</v>
      </c>
      <c r="AG14" s="67">
        <v>0</v>
      </c>
      <c r="AH14" s="68">
        <v>0</v>
      </c>
      <c r="AI14" s="69">
        <v>0</v>
      </c>
      <c r="AJ14" s="69">
        <v>0</v>
      </c>
      <c r="AK14" s="70">
        <f t="shared" si="11"/>
        <v>0</v>
      </c>
      <c r="AL14" s="70">
        <f t="shared" si="12"/>
        <v>0</v>
      </c>
      <c r="AM14" s="71" t="str">
        <f t="shared" si="13"/>
        <v>-</v>
      </c>
      <c r="AN14" s="67">
        <v>0</v>
      </c>
      <c r="AO14" s="68">
        <v>0</v>
      </c>
      <c r="AP14" s="69">
        <v>0</v>
      </c>
      <c r="AQ14" s="69">
        <v>0</v>
      </c>
      <c r="AR14" s="70">
        <f t="shared" si="14"/>
        <v>0</v>
      </c>
      <c r="AS14" s="70">
        <f t="shared" si="15"/>
        <v>0</v>
      </c>
      <c r="AT14" s="71" t="str">
        <f t="shared" si="16"/>
        <v>-</v>
      </c>
      <c r="AU14" s="67">
        <v>71</v>
      </c>
      <c r="AV14" s="68">
        <v>69</v>
      </c>
      <c r="AW14" s="69">
        <v>0</v>
      </c>
      <c r="AX14" s="69">
        <v>0</v>
      </c>
      <c r="AY14" s="70">
        <f t="shared" si="17"/>
        <v>71</v>
      </c>
      <c r="AZ14" s="70">
        <f t="shared" si="18"/>
        <v>69</v>
      </c>
      <c r="BA14" s="71">
        <f t="shared" si="19"/>
        <v>0.971830985915493</v>
      </c>
      <c r="BB14" s="67">
        <v>0</v>
      </c>
      <c r="BC14" s="68">
        <v>0</v>
      </c>
      <c r="BD14" s="69">
        <v>0</v>
      </c>
      <c r="BE14" s="69">
        <v>0</v>
      </c>
      <c r="BF14" s="70">
        <f t="shared" si="20"/>
        <v>0</v>
      </c>
      <c r="BG14" s="70">
        <f t="shared" si="21"/>
        <v>0</v>
      </c>
      <c r="BH14" s="71" t="str">
        <f t="shared" si="22"/>
        <v>-</v>
      </c>
      <c r="BI14" s="67">
        <v>0</v>
      </c>
      <c r="BJ14" s="68">
        <v>0</v>
      </c>
      <c r="BK14" s="69">
        <v>0</v>
      </c>
      <c r="BL14" s="69">
        <v>0</v>
      </c>
      <c r="BM14" s="70">
        <f t="shared" si="23"/>
        <v>0</v>
      </c>
      <c r="BN14" s="70">
        <f t="shared" si="24"/>
        <v>0</v>
      </c>
      <c r="BO14" s="71" t="str">
        <f t="shared" si="25"/>
        <v>-</v>
      </c>
      <c r="BP14" s="67">
        <v>0</v>
      </c>
      <c r="BQ14" s="68">
        <v>0</v>
      </c>
      <c r="BR14" s="69">
        <v>0</v>
      </c>
      <c r="BS14" s="69">
        <v>0</v>
      </c>
      <c r="BT14" s="70">
        <f t="shared" si="26"/>
        <v>0</v>
      </c>
      <c r="BU14" s="70">
        <f t="shared" si="27"/>
        <v>0</v>
      </c>
      <c r="BV14" s="71" t="str">
        <f t="shared" si="28"/>
        <v>-</v>
      </c>
      <c r="BW14" s="67">
        <f t="shared" si="40"/>
        <v>71</v>
      </c>
      <c r="BX14" s="68">
        <f t="shared" si="41"/>
        <v>69</v>
      </c>
      <c r="BY14" s="72">
        <f t="shared" si="42"/>
        <v>0.971830985915493</v>
      </c>
      <c r="BZ14" s="73">
        <f t="shared" si="43"/>
        <v>0</v>
      </c>
      <c r="CA14" s="69">
        <f t="shared" si="44"/>
        <v>0</v>
      </c>
      <c r="CB14" s="74" t="str">
        <f t="shared" si="45"/>
        <v>-</v>
      </c>
      <c r="CC14" s="75">
        <f t="shared" si="46"/>
        <v>71</v>
      </c>
      <c r="CD14" s="76">
        <f t="shared" si="47"/>
        <v>69</v>
      </c>
      <c r="CE14" s="84">
        <f t="shared" si="48"/>
        <v>0.971830985915493</v>
      </c>
      <c r="CF14" s="77">
        <v>0</v>
      </c>
      <c r="CG14" s="78">
        <v>0</v>
      </c>
      <c r="CH14" s="79" t="str">
        <f t="shared" ref="CH14:CH19" si="57">IFERROR(CG14/CF14,"-")</f>
        <v>-</v>
      </c>
      <c r="CI14" s="80">
        <v>0</v>
      </c>
      <c r="CJ14" s="80">
        <v>0</v>
      </c>
      <c r="CK14" s="81" t="str">
        <f t="shared" ref="CK14:CK19" si="58">IFERROR(CJ14/CI14,"-")</f>
        <v>-</v>
      </c>
      <c r="CL14" s="78">
        <v>0</v>
      </c>
      <c r="CM14" s="78">
        <v>0</v>
      </c>
      <c r="CN14" s="79" t="str">
        <f t="shared" ref="CN14:CN19" si="59">IFERROR(CM14/CL14,"-")</f>
        <v>-</v>
      </c>
      <c r="CO14" s="80">
        <v>0</v>
      </c>
      <c r="CP14" s="80">
        <v>0</v>
      </c>
      <c r="CQ14" s="82" t="str">
        <f t="shared" ref="CQ14:CQ19" si="60">IFERROR(CP14/CO14,"-")</f>
        <v>-</v>
      </c>
    </row>
    <row r="15" spans="1:95" s="17" customFormat="1" ht="21" customHeight="1" x14ac:dyDescent="0.2">
      <c r="A15" s="103">
        <v>9</v>
      </c>
      <c r="B15" s="104" t="s">
        <v>52</v>
      </c>
      <c r="C15" s="65" t="s">
        <v>15</v>
      </c>
      <c r="D15" s="66" t="s">
        <v>16</v>
      </c>
      <c r="E15" s="67">
        <v>0</v>
      </c>
      <c r="F15" s="68">
        <v>0</v>
      </c>
      <c r="G15" s="69">
        <v>0</v>
      </c>
      <c r="H15" s="69">
        <v>0</v>
      </c>
      <c r="I15" s="70">
        <f t="shared" si="37"/>
        <v>0</v>
      </c>
      <c r="J15" s="70">
        <f t="shared" si="38"/>
        <v>0</v>
      </c>
      <c r="K15" s="71" t="str">
        <f t="shared" si="39"/>
        <v>-</v>
      </c>
      <c r="L15" s="67">
        <v>0</v>
      </c>
      <c r="M15" s="68">
        <v>0</v>
      </c>
      <c r="N15" s="69">
        <v>0</v>
      </c>
      <c r="O15" s="69">
        <v>0</v>
      </c>
      <c r="P15" s="70">
        <f t="shared" si="2"/>
        <v>0</v>
      </c>
      <c r="Q15" s="70">
        <f t="shared" si="3"/>
        <v>0</v>
      </c>
      <c r="R15" s="71" t="str">
        <f t="shared" si="4"/>
        <v>-</v>
      </c>
      <c r="S15" s="67">
        <v>0</v>
      </c>
      <c r="T15" s="68">
        <v>0</v>
      </c>
      <c r="U15" s="69">
        <v>0</v>
      </c>
      <c r="V15" s="69">
        <v>0</v>
      </c>
      <c r="W15" s="70">
        <f t="shared" si="5"/>
        <v>0</v>
      </c>
      <c r="X15" s="70">
        <f t="shared" si="6"/>
        <v>0</v>
      </c>
      <c r="Y15" s="71" t="str">
        <f t="shared" si="7"/>
        <v>-</v>
      </c>
      <c r="Z15" s="67">
        <v>0</v>
      </c>
      <c r="AA15" s="68">
        <v>0</v>
      </c>
      <c r="AB15" s="69">
        <v>0</v>
      </c>
      <c r="AC15" s="69">
        <v>0</v>
      </c>
      <c r="AD15" s="70">
        <f t="shared" si="8"/>
        <v>0</v>
      </c>
      <c r="AE15" s="70">
        <f t="shared" si="9"/>
        <v>0</v>
      </c>
      <c r="AF15" s="71" t="str">
        <f t="shared" si="10"/>
        <v>-</v>
      </c>
      <c r="AG15" s="67">
        <v>43</v>
      </c>
      <c r="AH15" s="68">
        <v>40</v>
      </c>
      <c r="AI15" s="69">
        <v>39</v>
      </c>
      <c r="AJ15" s="69">
        <v>31</v>
      </c>
      <c r="AK15" s="70">
        <f t="shared" si="11"/>
        <v>82</v>
      </c>
      <c r="AL15" s="70">
        <f t="shared" si="12"/>
        <v>71</v>
      </c>
      <c r="AM15" s="71">
        <f t="shared" si="13"/>
        <v>0.86585365853658536</v>
      </c>
      <c r="AN15" s="67">
        <v>0</v>
      </c>
      <c r="AO15" s="68">
        <v>0</v>
      </c>
      <c r="AP15" s="69">
        <v>0</v>
      </c>
      <c r="AQ15" s="69">
        <v>0</v>
      </c>
      <c r="AR15" s="70">
        <f t="shared" si="14"/>
        <v>0</v>
      </c>
      <c r="AS15" s="70">
        <f t="shared" si="15"/>
        <v>0</v>
      </c>
      <c r="AT15" s="71" t="str">
        <f t="shared" si="16"/>
        <v>-</v>
      </c>
      <c r="AU15" s="67">
        <v>0</v>
      </c>
      <c r="AV15" s="68">
        <v>0</v>
      </c>
      <c r="AW15" s="69">
        <v>0</v>
      </c>
      <c r="AX15" s="69">
        <v>0</v>
      </c>
      <c r="AY15" s="70">
        <f t="shared" si="17"/>
        <v>0</v>
      </c>
      <c r="AZ15" s="70">
        <f t="shared" si="18"/>
        <v>0</v>
      </c>
      <c r="BA15" s="71" t="str">
        <f t="shared" si="19"/>
        <v>-</v>
      </c>
      <c r="BB15" s="67">
        <v>20</v>
      </c>
      <c r="BC15" s="68">
        <v>12</v>
      </c>
      <c r="BD15" s="69">
        <v>19</v>
      </c>
      <c r="BE15" s="69">
        <v>14</v>
      </c>
      <c r="BF15" s="70">
        <f t="shared" si="20"/>
        <v>39</v>
      </c>
      <c r="BG15" s="70">
        <f t="shared" si="21"/>
        <v>26</v>
      </c>
      <c r="BH15" s="71">
        <f t="shared" si="22"/>
        <v>0.66666666666666663</v>
      </c>
      <c r="BI15" s="67">
        <v>0</v>
      </c>
      <c r="BJ15" s="68">
        <v>0</v>
      </c>
      <c r="BK15" s="69">
        <v>0</v>
      </c>
      <c r="BL15" s="69">
        <v>0</v>
      </c>
      <c r="BM15" s="70">
        <f t="shared" si="23"/>
        <v>0</v>
      </c>
      <c r="BN15" s="70">
        <f t="shared" si="24"/>
        <v>0</v>
      </c>
      <c r="BO15" s="71" t="str">
        <f t="shared" si="25"/>
        <v>-</v>
      </c>
      <c r="BP15" s="67">
        <v>0</v>
      </c>
      <c r="BQ15" s="68">
        <v>0</v>
      </c>
      <c r="BR15" s="69">
        <v>0</v>
      </c>
      <c r="BS15" s="69">
        <v>0</v>
      </c>
      <c r="BT15" s="70">
        <f t="shared" si="26"/>
        <v>0</v>
      </c>
      <c r="BU15" s="70">
        <f t="shared" si="27"/>
        <v>0</v>
      </c>
      <c r="BV15" s="71" t="str">
        <f t="shared" si="28"/>
        <v>-</v>
      </c>
      <c r="BW15" s="67">
        <f t="shared" si="40"/>
        <v>63</v>
      </c>
      <c r="BX15" s="68">
        <f t="shared" si="41"/>
        <v>52</v>
      </c>
      <c r="BY15" s="72">
        <f t="shared" si="42"/>
        <v>0.82539682539682535</v>
      </c>
      <c r="BZ15" s="73">
        <f t="shared" si="43"/>
        <v>58</v>
      </c>
      <c r="CA15" s="69">
        <f t="shared" si="44"/>
        <v>45</v>
      </c>
      <c r="CB15" s="74">
        <f t="shared" si="45"/>
        <v>0.77586206896551724</v>
      </c>
      <c r="CC15" s="75">
        <f t="shared" si="46"/>
        <v>121</v>
      </c>
      <c r="CD15" s="76">
        <f t="shared" si="47"/>
        <v>97</v>
      </c>
      <c r="CE15" s="84">
        <f t="shared" si="48"/>
        <v>0.80165289256198347</v>
      </c>
      <c r="CF15" s="77">
        <v>0</v>
      </c>
      <c r="CG15" s="78">
        <v>0</v>
      </c>
      <c r="CH15" s="79" t="str">
        <f t="shared" si="57"/>
        <v>-</v>
      </c>
      <c r="CI15" s="80">
        <v>0</v>
      </c>
      <c r="CJ15" s="80">
        <v>0</v>
      </c>
      <c r="CK15" s="81" t="str">
        <f t="shared" si="58"/>
        <v>-</v>
      </c>
      <c r="CL15" s="78">
        <v>0</v>
      </c>
      <c r="CM15" s="78">
        <v>0</v>
      </c>
      <c r="CN15" s="79" t="str">
        <f t="shared" si="59"/>
        <v>-</v>
      </c>
      <c r="CO15" s="80">
        <v>0</v>
      </c>
      <c r="CP15" s="80">
        <v>0</v>
      </c>
      <c r="CQ15" s="82" t="str">
        <f t="shared" si="60"/>
        <v>-</v>
      </c>
    </row>
    <row r="16" spans="1:95" s="17" customFormat="1" ht="21" customHeight="1" x14ac:dyDescent="0.2">
      <c r="A16" s="103">
        <v>10</v>
      </c>
      <c r="B16" s="104" t="s">
        <v>20</v>
      </c>
      <c r="C16" s="65" t="s">
        <v>15</v>
      </c>
      <c r="D16" s="66" t="s">
        <v>16</v>
      </c>
      <c r="E16" s="67">
        <v>0</v>
      </c>
      <c r="F16" s="68">
        <v>0</v>
      </c>
      <c r="G16" s="69">
        <v>0</v>
      </c>
      <c r="H16" s="69">
        <v>0</v>
      </c>
      <c r="I16" s="70">
        <f t="shared" si="37"/>
        <v>0</v>
      </c>
      <c r="J16" s="70">
        <f t="shared" si="38"/>
        <v>0</v>
      </c>
      <c r="K16" s="71" t="str">
        <f t="shared" si="39"/>
        <v>-</v>
      </c>
      <c r="L16" s="67">
        <v>0</v>
      </c>
      <c r="M16" s="68">
        <v>0</v>
      </c>
      <c r="N16" s="69">
        <v>0</v>
      </c>
      <c r="O16" s="69">
        <v>0</v>
      </c>
      <c r="P16" s="70">
        <f t="shared" si="2"/>
        <v>0</v>
      </c>
      <c r="Q16" s="70">
        <f t="shared" si="3"/>
        <v>0</v>
      </c>
      <c r="R16" s="71" t="str">
        <f t="shared" si="4"/>
        <v>-</v>
      </c>
      <c r="S16" s="67">
        <v>10</v>
      </c>
      <c r="T16" s="68">
        <v>9</v>
      </c>
      <c r="U16" s="69">
        <v>36</v>
      </c>
      <c r="V16" s="69">
        <v>34</v>
      </c>
      <c r="W16" s="70">
        <f t="shared" si="5"/>
        <v>46</v>
      </c>
      <c r="X16" s="70">
        <f t="shared" si="6"/>
        <v>43</v>
      </c>
      <c r="Y16" s="71">
        <f t="shared" si="7"/>
        <v>0.93478260869565222</v>
      </c>
      <c r="Z16" s="67">
        <v>0</v>
      </c>
      <c r="AA16" s="68">
        <v>0</v>
      </c>
      <c r="AB16" s="69">
        <v>0</v>
      </c>
      <c r="AC16" s="69">
        <v>0</v>
      </c>
      <c r="AD16" s="70">
        <f t="shared" si="8"/>
        <v>0</v>
      </c>
      <c r="AE16" s="70">
        <f t="shared" si="9"/>
        <v>0</v>
      </c>
      <c r="AF16" s="71" t="str">
        <f t="shared" si="10"/>
        <v>-</v>
      </c>
      <c r="AG16" s="67">
        <v>9</v>
      </c>
      <c r="AH16" s="68">
        <v>8</v>
      </c>
      <c r="AI16" s="69">
        <v>26</v>
      </c>
      <c r="AJ16" s="69">
        <v>24</v>
      </c>
      <c r="AK16" s="70">
        <f t="shared" si="11"/>
        <v>35</v>
      </c>
      <c r="AL16" s="70">
        <f t="shared" si="12"/>
        <v>32</v>
      </c>
      <c r="AM16" s="71">
        <f t="shared" si="13"/>
        <v>0.91428571428571426</v>
      </c>
      <c r="AN16" s="67">
        <v>14</v>
      </c>
      <c r="AO16" s="68">
        <v>13</v>
      </c>
      <c r="AP16" s="69">
        <v>247</v>
      </c>
      <c r="AQ16" s="69">
        <v>230</v>
      </c>
      <c r="AR16" s="70">
        <f t="shared" si="14"/>
        <v>261</v>
      </c>
      <c r="AS16" s="70">
        <f t="shared" si="15"/>
        <v>243</v>
      </c>
      <c r="AT16" s="71">
        <f t="shared" si="16"/>
        <v>0.93103448275862066</v>
      </c>
      <c r="AU16" s="67">
        <v>21</v>
      </c>
      <c r="AV16" s="68">
        <v>21</v>
      </c>
      <c r="AW16" s="69">
        <v>32</v>
      </c>
      <c r="AX16" s="69">
        <v>30</v>
      </c>
      <c r="AY16" s="70">
        <f t="shared" si="17"/>
        <v>53</v>
      </c>
      <c r="AZ16" s="70">
        <f t="shared" si="18"/>
        <v>51</v>
      </c>
      <c r="BA16" s="71">
        <f t="shared" si="19"/>
        <v>0.96226415094339623</v>
      </c>
      <c r="BB16" s="67">
        <v>7</v>
      </c>
      <c r="BC16" s="68">
        <v>6</v>
      </c>
      <c r="BD16" s="69">
        <v>51</v>
      </c>
      <c r="BE16" s="69">
        <v>50</v>
      </c>
      <c r="BF16" s="70">
        <f t="shared" si="20"/>
        <v>58</v>
      </c>
      <c r="BG16" s="70">
        <f t="shared" si="21"/>
        <v>56</v>
      </c>
      <c r="BH16" s="71">
        <f t="shared" si="22"/>
        <v>0.96551724137931039</v>
      </c>
      <c r="BI16" s="67">
        <v>0</v>
      </c>
      <c r="BJ16" s="68">
        <v>0</v>
      </c>
      <c r="BK16" s="69">
        <v>0</v>
      </c>
      <c r="BL16" s="69">
        <v>0</v>
      </c>
      <c r="BM16" s="70">
        <f t="shared" si="23"/>
        <v>0</v>
      </c>
      <c r="BN16" s="70">
        <f t="shared" si="24"/>
        <v>0</v>
      </c>
      <c r="BO16" s="71" t="str">
        <f t="shared" si="25"/>
        <v>-</v>
      </c>
      <c r="BP16" s="67">
        <v>6</v>
      </c>
      <c r="BQ16" s="68">
        <v>5</v>
      </c>
      <c r="BR16" s="69">
        <v>55</v>
      </c>
      <c r="BS16" s="69">
        <v>51</v>
      </c>
      <c r="BT16" s="70">
        <f t="shared" si="26"/>
        <v>61</v>
      </c>
      <c r="BU16" s="70">
        <f t="shared" si="27"/>
        <v>56</v>
      </c>
      <c r="BV16" s="71">
        <f t="shared" si="28"/>
        <v>0.91803278688524592</v>
      </c>
      <c r="BW16" s="67">
        <f t="shared" si="40"/>
        <v>67</v>
      </c>
      <c r="BX16" s="68">
        <f t="shared" si="41"/>
        <v>62</v>
      </c>
      <c r="BY16" s="72">
        <f t="shared" si="42"/>
        <v>0.92537313432835822</v>
      </c>
      <c r="BZ16" s="73">
        <f t="shared" si="43"/>
        <v>447</v>
      </c>
      <c r="CA16" s="69">
        <f t="shared" si="44"/>
        <v>419</v>
      </c>
      <c r="CB16" s="74">
        <f t="shared" si="45"/>
        <v>0.93736017897091728</v>
      </c>
      <c r="CC16" s="75">
        <f t="shared" si="46"/>
        <v>514</v>
      </c>
      <c r="CD16" s="76">
        <f t="shared" si="47"/>
        <v>481</v>
      </c>
      <c r="CE16" s="84">
        <f t="shared" si="48"/>
        <v>0.93579766536964981</v>
      </c>
      <c r="CF16" s="77">
        <v>0</v>
      </c>
      <c r="CG16" s="78">
        <v>0</v>
      </c>
      <c r="CH16" s="79" t="str">
        <f t="shared" si="57"/>
        <v>-</v>
      </c>
      <c r="CI16" s="80">
        <v>0</v>
      </c>
      <c r="CJ16" s="80">
        <v>0</v>
      </c>
      <c r="CK16" s="81" t="str">
        <f t="shared" si="58"/>
        <v>-</v>
      </c>
      <c r="CL16" s="78">
        <v>0</v>
      </c>
      <c r="CM16" s="78">
        <v>0</v>
      </c>
      <c r="CN16" s="79" t="str">
        <f t="shared" si="59"/>
        <v>-</v>
      </c>
      <c r="CO16" s="80">
        <v>0</v>
      </c>
      <c r="CP16" s="80">
        <v>0</v>
      </c>
      <c r="CQ16" s="82" t="str">
        <f t="shared" si="60"/>
        <v>-</v>
      </c>
    </row>
    <row r="17" spans="1:95" s="17" customFormat="1" ht="21" customHeight="1" x14ac:dyDescent="0.2">
      <c r="A17" s="103">
        <v>11</v>
      </c>
      <c r="B17" s="104" t="s">
        <v>4</v>
      </c>
      <c r="C17" s="65" t="s">
        <v>15</v>
      </c>
      <c r="D17" s="66" t="s">
        <v>16</v>
      </c>
      <c r="E17" s="67">
        <v>0</v>
      </c>
      <c r="F17" s="68">
        <v>0</v>
      </c>
      <c r="G17" s="69">
        <v>0</v>
      </c>
      <c r="H17" s="69">
        <v>0</v>
      </c>
      <c r="I17" s="70">
        <f t="shared" si="37"/>
        <v>0</v>
      </c>
      <c r="J17" s="70">
        <f t="shared" si="38"/>
        <v>0</v>
      </c>
      <c r="K17" s="71" t="str">
        <f t="shared" si="39"/>
        <v>-</v>
      </c>
      <c r="L17" s="67">
        <v>0</v>
      </c>
      <c r="M17" s="68">
        <v>0</v>
      </c>
      <c r="N17" s="69">
        <v>0</v>
      </c>
      <c r="O17" s="69">
        <v>0</v>
      </c>
      <c r="P17" s="70">
        <f t="shared" si="2"/>
        <v>0</v>
      </c>
      <c r="Q17" s="70">
        <f t="shared" si="3"/>
        <v>0</v>
      </c>
      <c r="R17" s="71" t="str">
        <f t="shared" si="4"/>
        <v>-</v>
      </c>
      <c r="S17" s="67">
        <v>51</v>
      </c>
      <c r="T17" s="68">
        <v>42</v>
      </c>
      <c r="U17" s="69">
        <v>10</v>
      </c>
      <c r="V17" s="69">
        <v>7</v>
      </c>
      <c r="W17" s="70">
        <f t="shared" si="5"/>
        <v>61</v>
      </c>
      <c r="X17" s="70">
        <f t="shared" si="6"/>
        <v>49</v>
      </c>
      <c r="Y17" s="71">
        <f t="shared" si="7"/>
        <v>0.80327868852459017</v>
      </c>
      <c r="Z17" s="67">
        <v>0</v>
      </c>
      <c r="AA17" s="68">
        <v>0</v>
      </c>
      <c r="AB17" s="69">
        <v>0</v>
      </c>
      <c r="AC17" s="69">
        <v>0</v>
      </c>
      <c r="AD17" s="70">
        <f t="shared" si="8"/>
        <v>0</v>
      </c>
      <c r="AE17" s="70">
        <f t="shared" si="9"/>
        <v>0</v>
      </c>
      <c r="AF17" s="71" t="str">
        <f t="shared" si="10"/>
        <v>-</v>
      </c>
      <c r="AG17" s="67">
        <v>18</v>
      </c>
      <c r="AH17" s="68">
        <v>16</v>
      </c>
      <c r="AI17" s="69">
        <v>35</v>
      </c>
      <c r="AJ17" s="69">
        <v>34</v>
      </c>
      <c r="AK17" s="70">
        <f t="shared" si="11"/>
        <v>53</v>
      </c>
      <c r="AL17" s="70">
        <f t="shared" si="12"/>
        <v>50</v>
      </c>
      <c r="AM17" s="71">
        <f t="shared" si="13"/>
        <v>0.94339622641509435</v>
      </c>
      <c r="AN17" s="67">
        <v>14</v>
      </c>
      <c r="AO17" s="68">
        <v>12</v>
      </c>
      <c r="AP17" s="69">
        <v>44</v>
      </c>
      <c r="AQ17" s="69">
        <v>42</v>
      </c>
      <c r="AR17" s="70">
        <f t="shared" si="14"/>
        <v>58</v>
      </c>
      <c r="AS17" s="70">
        <f t="shared" si="15"/>
        <v>54</v>
      </c>
      <c r="AT17" s="71">
        <f t="shared" si="16"/>
        <v>0.93103448275862066</v>
      </c>
      <c r="AU17" s="67">
        <v>28</v>
      </c>
      <c r="AV17" s="68">
        <v>26</v>
      </c>
      <c r="AW17" s="69">
        <v>26</v>
      </c>
      <c r="AX17" s="69">
        <v>24</v>
      </c>
      <c r="AY17" s="70">
        <f t="shared" si="17"/>
        <v>54</v>
      </c>
      <c r="AZ17" s="70">
        <f t="shared" si="18"/>
        <v>50</v>
      </c>
      <c r="BA17" s="71">
        <f t="shared" si="19"/>
        <v>0.92592592592592593</v>
      </c>
      <c r="BB17" s="67">
        <v>0</v>
      </c>
      <c r="BC17" s="68">
        <v>0</v>
      </c>
      <c r="BD17" s="69">
        <v>0</v>
      </c>
      <c r="BE17" s="69">
        <v>0</v>
      </c>
      <c r="BF17" s="70">
        <f t="shared" si="20"/>
        <v>0</v>
      </c>
      <c r="BG17" s="70">
        <f t="shared" si="21"/>
        <v>0</v>
      </c>
      <c r="BH17" s="71" t="str">
        <f t="shared" si="22"/>
        <v>-</v>
      </c>
      <c r="BI17" s="67">
        <v>0</v>
      </c>
      <c r="BJ17" s="68">
        <v>0</v>
      </c>
      <c r="BK17" s="69">
        <v>0</v>
      </c>
      <c r="BL17" s="69">
        <v>0</v>
      </c>
      <c r="BM17" s="70">
        <f t="shared" si="23"/>
        <v>0</v>
      </c>
      <c r="BN17" s="70">
        <f t="shared" si="24"/>
        <v>0</v>
      </c>
      <c r="BO17" s="71" t="str">
        <f t="shared" si="25"/>
        <v>-</v>
      </c>
      <c r="BP17" s="67">
        <v>0</v>
      </c>
      <c r="BQ17" s="68">
        <v>0</v>
      </c>
      <c r="BR17" s="69">
        <v>0</v>
      </c>
      <c r="BS17" s="69">
        <v>0</v>
      </c>
      <c r="BT17" s="70">
        <f t="shared" si="26"/>
        <v>0</v>
      </c>
      <c r="BU17" s="70">
        <f t="shared" si="27"/>
        <v>0</v>
      </c>
      <c r="BV17" s="71" t="str">
        <f t="shared" si="28"/>
        <v>-</v>
      </c>
      <c r="BW17" s="67">
        <f t="shared" si="40"/>
        <v>111</v>
      </c>
      <c r="BX17" s="68">
        <f t="shared" si="41"/>
        <v>96</v>
      </c>
      <c r="BY17" s="72">
        <f t="shared" si="42"/>
        <v>0.86486486486486491</v>
      </c>
      <c r="BZ17" s="73">
        <f t="shared" si="43"/>
        <v>115</v>
      </c>
      <c r="CA17" s="69">
        <f t="shared" si="44"/>
        <v>107</v>
      </c>
      <c r="CB17" s="74">
        <f t="shared" si="45"/>
        <v>0.93043478260869561</v>
      </c>
      <c r="CC17" s="75">
        <f t="shared" si="46"/>
        <v>226</v>
      </c>
      <c r="CD17" s="76">
        <f t="shared" si="47"/>
        <v>203</v>
      </c>
      <c r="CE17" s="84">
        <f t="shared" si="48"/>
        <v>0.89823008849557517</v>
      </c>
      <c r="CF17" s="77">
        <v>0</v>
      </c>
      <c r="CG17" s="78">
        <v>0</v>
      </c>
      <c r="CH17" s="79" t="str">
        <f t="shared" si="57"/>
        <v>-</v>
      </c>
      <c r="CI17" s="80">
        <v>0</v>
      </c>
      <c r="CJ17" s="80">
        <v>0</v>
      </c>
      <c r="CK17" s="81" t="str">
        <f t="shared" si="58"/>
        <v>-</v>
      </c>
      <c r="CL17" s="78">
        <v>0</v>
      </c>
      <c r="CM17" s="78">
        <v>0</v>
      </c>
      <c r="CN17" s="79" t="str">
        <f t="shared" si="59"/>
        <v>-</v>
      </c>
      <c r="CO17" s="80">
        <v>0</v>
      </c>
      <c r="CP17" s="80">
        <v>0</v>
      </c>
      <c r="CQ17" s="82" t="str">
        <f t="shared" si="60"/>
        <v>-</v>
      </c>
    </row>
    <row r="18" spans="1:95" s="17" customFormat="1" ht="21" customHeight="1" x14ac:dyDescent="0.2">
      <c r="A18" s="103">
        <v>12</v>
      </c>
      <c r="B18" s="104" t="s">
        <v>5</v>
      </c>
      <c r="C18" s="65" t="s">
        <v>15</v>
      </c>
      <c r="D18" s="66" t="s">
        <v>16</v>
      </c>
      <c r="E18" s="67">
        <v>46</v>
      </c>
      <c r="F18" s="68">
        <v>35</v>
      </c>
      <c r="G18" s="69">
        <v>0</v>
      </c>
      <c r="H18" s="69">
        <v>0</v>
      </c>
      <c r="I18" s="70">
        <f t="shared" si="37"/>
        <v>46</v>
      </c>
      <c r="J18" s="70">
        <f t="shared" si="38"/>
        <v>35</v>
      </c>
      <c r="K18" s="71">
        <f t="shared" si="39"/>
        <v>0.76086956521739135</v>
      </c>
      <c r="L18" s="67">
        <v>0</v>
      </c>
      <c r="M18" s="68">
        <v>0</v>
      </c>
      <c r="N18" s="69">
        <v>0</v>
      </c>
      <c r="O18" s="69">
        <v>0</v>
      </c>
      <c r="P18" s="70">
        <f t="shared" si="2"/>
        <v>0</v>
      </c>
      <c r="Q18" s="70">
        <f t="shared" si="3"/>
        <v>0</v>
      </c>
      <c r="R18" s="71" t="str">
        <f t="shared" si="4"/>
        <v>-</v>
      </c>
      <c r="S18" s="67">
        <v>46</v>
      </c>
      <c r="T18" s="68">
        <v>36</v>
      </c>
      <c r="U18" s="69">
        <v>21</v>
      </c>
      <c r="V18" s="69">
        <v>19</v>
      </c>
      <c r="W18" s="70">
        <f t="shared" si="5"/>
        <v>67</v>
      </c>
      <c r="X18" s="70">
        <f t="shared" si="6"/>
        <v>55</v>
      </c>
      <c r="Y18" s="71">
        <f t="shared" si="7"/>
        <v>0.82089552238805974</v>
      </c>
      <c r="Z18" s="67">
        <v>0</v>
      </c>
      <c r="AA18" s="68">
        <v>0</v>
      </c>
      <c r="AB18" s="69">
        <v>0</v>
      </c>
      <c r="AC18" s="69">
        <v>0</v>
      </c>
      <c r="AD18" s="70">
        <f t="shared" si="8"/>
        <v>0</v>
      </c>
      <c r="AE18" s="70">
        <f t="shared" si="9"/>
        <v>0</v>
      </c>
      <c r="AF18" s="71" t="str">
        <f t="shared" si="10"/>
        <v>-</v>
      </c>
      <c r="AG18" s="67">
        <v>25</v>
      </c>
      <c r="AH18" s="68">
        <v>18</v>
      </c>
      <c r="AI18" s="69">
        <v>35</v>
      </c>
      <c r="AJ18" s="69">
        <v>30</v>
      </c>
      <c r="AK18" s="70">
        <f t="shared" si="11"/>
        <v>60</v>
      </c>
      <c r="AL18" s="70">
        <f t="shared" si="12"/>
        <v>48</v>
      </c>
      <c r="AM18" s="71">
        <f t="shared" si="13"/>
        <v>0.8</v>
      </c>
      <c r="AN18" s="67">
        <v>22</v>
      </c>
      <c r="AO18" s="68">
        <v>14</v>
      </c>
      <c r="AP18" s="69">
        <v>79</v>
      </c>
      <c r="AQ18" s="69">
        <v>64</v>
      </c>
      <c r="AR18" s="70">
        <f t="shared" si="14"/>
        <v>101</v>
      </c>
      <c r="AS18" s="70">
        <f t="shared" si="15"/>
        <v>78</v>
      </c>
      <c r="AT18" s="71">
        <f t="shared" si="16"/>
        <v>0.7722772277227723</v>
      </c>
      <c r="AU18" s="67">
        <v>55</v>
      </c>
      <c r="AV18" s="68">
        <v>40</v>
      </c>
      <c r="AW18" s="69">
        <v>0</v>
      </c>
      <c r="AX18" s="69">
        <v>0</v>
      </c>
      <c r="AY18" s="70">
        <f t="shared" si="17"/>
        <v>55</v>
      </c>
      <c r="AZ18" s="70">
        <f t="shared" si="18"/>
        <v>40</v>
      </c>
      <c r="BA18" s="71">
        <f t="shared" si="19"/>
        <v>0.72727272727272729</v>
      </c>
      <c r="BB18" s="67">
        <v>0</v>
      </c>
      <c r="BC18" s="68">
        <v>0</v>
      </c>
      <c r="BD18" s="69">
        <v>0</v>
      </c>
      <c r="BE18" s="69">
        <v>0</v>
      </c>
      <c r="BF18" s="70">
        <f t="shared" si="20"/>
        <v>0</v>
      </c>
      <c r="BG18" s="70">
        <f t="shared" si="21"/>
        <v>0</v>
      </c>
      <c r="BH18" s="71" t="str">
        <f t="shared" si="22"/>
        <v>-</v>
      </c>
      <c r="BI18" s="67">
        <v>0</v>
      </c>
      <c r="BJ18" s="68">
        <v>0</v>
      </c>
      <c r="BK18" s="69">
        <v>0</v>
      </c>
      <c r="BL18" s="69">
        <v>0</v>
      </c>
      <c r="BM18" s="70">
        <f t="shared" si="23"/>
        <v>0</v>
      </c>
      <c r="BN18" s="70">
        <f t="shared" si="24"/>
        <v>0</v>
      </c>
      <c r="BO18" s="71" t="str">
        <f t="shared" si="25"/>
        <v>-</v>
      </c>
      <c r="BP18" s="67">
        <v>24</v>
      </c>
      <c r="BQ18" s="68">
        <v>20</v>
      </c>
      <c r="BR18" s="69">
        <v>27</v>
      </c>
      <c r="BS18" s="69">
        <v>23</v>
      </c>
      <c r="BT18" s="70">
        <f t="shared" si="26"/>
        <v>51</v>
      </c>
      <c r="BU18" s="70">
        <f t="shared" si="27"/>
        <v>43</v>
      </c>
      <c r="BV18" s="71">
        <f t="shared" si="28"/>
        <v>0.84313725490196079</v>
      </c>
      <c r="BW18" s="67">
        <f t="shared" si="40"/>
        <v>218</v>
      </c>
      <c r="BX18" s="68">
        <f t="shared" si="41"/>
        <v>163</v>
      </c>
      <c r="BY18" s="72">
        <f t="shared" si="42"/>
        <v>0.74770642201834858</v>
      </c>
      <c r="BZ18" s="73">
        <f t="shared" si="43"/>
        <v>162</v>
      </c>
      <c r="CA18" s="69">
        <f t="shared" si="44"/>
        <v>136</v>
      </c>
      <c r="CB18" s="74">
        <f t="shared" si="45"/>
        <v>0.83950617283950613</v>
      </c>
      <c r="CC18" s="75">
        <f t="shared" si="46"/>
        <v>380</v>
      </c>
      <c r="CD18" s="76">
        <f t="shared" si="47"/>
        <v>299</v>
      </c>
      <c r="CE18" s="84">
        <f t="shared" si="48"/>
        <v>0.7868421052631579</v>
      </c>
      <c r="CF18" s="77">
        <v>32</v>
      </c>
      <c r="CG18" s="78">
        <v>17</v>
      </c>
      <c r="CH18" s="79">
        <f t="shared" si="57"/>
        <v>0.53125</v>
      </c>
      <c r="CI18" s="80">
        <v>40</v>
      </c>
      <c r="CJ18" s="80">
        <v>19</v>
      </c>
      <c r="CK18" s="81">
        <f t="shared" si="58"/>
        <v>0.47499999999999998</v>
      </c>
      <c r="CL18" s="78">
        <v>50</v>
      </c>
      <c r="CM18" s="78">
        <v>43</v>
      </c>
      <c r="CN18" s="79">
        <f t="shared" si="59"/>
        <v>0.86</v>
      </c>
      <c r="CO18" s="80">
        <v>30</v>
      </c>
      <c r="CP18" s="80">
        <v>30</v>
      </c>
      <c r="CQ18" s="82">
        <f t="shared" si="60"/>
        <v>1</v>
      </c>
    </row>
    <row r="19" spans="1:95" s="17" customFormat="1" ht="21" customHeight="1" x14ac:dyDescent="0.2">
      <c r="A19" s="103">
        <v>13</v>
      </c>
      <c r="B19" s="104" t="s">
        <v>45</v>
      </c>
      <c r="C19" s="65" t="s">
        <v>15</v>
      </c>
      <c r="D19" s="66" t="s">
        <v>16</v>
      </c>
      <c r="E19" s="67">
        <v>0</v>
      </c>
      <c r="F19" s="68">
        <v>0</v>
      </c>
      <c r="G19" s="69">
        <v>0</v>
      </c>
      <c r="H19" s="69">
        <v>0</v>
      </c>
      <c r="I19" s="70">
        <f t="shared" si="37"/>
        <v>0</v>
      </c>
      <c r="J19" s="70">
        <f t="shared" si="38"/>
        <v>0</v>
      </c>
      <c r="K19" s="71" t="str">
        <f t="shared" si="39"/>
        <v>-</v>
      </c>
      <c r="L19" s="67">
        <v>0</v>
      </c>
      <c r="M19" s="68">
        <v>0</v>
      </c>
      <c r="N19" s="69">
        <v>0</v>
      </c>
      <c r="O19" s="69">
        <v>0</v>
      </c>
      <c r="P19" s="70">
        <f t="shared" si="2"/>
        <v>0</v>
      </c>
      <c r="Q19" s="70">
        <f t="shared" si="3"/>
        <v>0</v>
      </c>
      <c r="R19" s="71" t="str">
        <f t="shared" si="4"/>
        <v>-</v>
      </c>
      <c r="S19" s="67">
        <v>0</v>
      </c>
      <c r="T19" s="68">
        <v>0</v>
      </c>
      <c r="U19" s="69">
        <v>0</v>
      </c>
      <c r="V19" s="69">
        <v>0</v>
      </c>
      <c r="W19" s="70">
        <f t="shared" si="5"/>
        <v>0</v>
      </c>
      <c r="X19" s="70">
        <f t="shared" si="6"/>
        <v>0</v>
      </c>
      <c r="Y19" s="71" t="str">
        <f t="shared" si="7"/>
        <v>-</v>
      </c>
      <c r="Z19" s="67">
        <v>0</v>
      </c>
      <c r="AA19" s="68">
        <v>0</v>
      </c>
      <c r="AB19" s="69">
        <v>0</v>
      </c>
      <c r="AC19" s="69">
        <v>0</v>
      </c>
      <c r="AD19" s="70">
        <f t="shared" si="8"/>
        <v>0</v>
      </c>
      <c r="AE19" s="70">
        <f t="shared" si="9"/>
        <v>0</v>
      </c>
      <c r="AF19" s="71" t="str">
        <f t="shared" si="10"/>
        <v>-</v>
      </c>
      <c r="AG19" s="67">
        <v>0</v>
      </c>
      <c r="AH19" s="68">
        <v>0</v>
      </c>
      <c r="AI19" s="69">
        <v>0</v>
      </c>
      <c r="AJ19" s="69">
        <v>0</v>
      </c>
      <c r="AK19" s="70">
        <f t="shared" si="11"/>
        <v>0</v>
      </c>
      <c r="AL19" s="70">
        <f t="shared" si="12"/>
        <v>0</v>
      </c>
      <c r="AM19" s="71" t="str">
        <f t="shared" si="13"/>
        <v>-</v>
      </c>
      <c r="AN19" s="67">
        <v>4</v>
      </c>
      <c r="AO19" s="68">
        <v>3</v>
      </c>
      <c r="AP19" s="69">
        <v>50</v>
      </c>
      <c r="AQ19" s="69">
        <v>34</v>
      </c>
      <c r="AR19" s="70">
        <f t="shared" si="14"/>
        <v>54</v>
      </c>
      <c r="AS19" s="70">
        <f t="shared" si="15"/>
        <v>37</v>
      </c>
      <c r="AT19" s="71">
        <f t="shared" si="16"/>
        <v>0.68518518518518523</v>
      </c>
      <c r="AU19" s="67">
        <v>0</v>
      </c>
      <c r="AV19" s="68">
        <v>0</v>
      </c>
      <c r="AW19" s="69">
        <v>0</v>
      </c>
      <c r="AX19" s="69">
        <v>0</v>
      </c>
      <c r="AY19" s="70">
        <f t="shared" si="17"/>
        <v>0</v>
      </c>
      <c r="AZ19" s="70">
        <f t="shared" si="18"/>
        <v>0</v>
      </c>
      <c r="BA19" s="71" t="str">
        <f t="shared" si="19"/>
        <v>-</v>
      </c>
      <c r="BB19" s="67">
        <v>0</v>
      </c>
      <c r="BC19" s="68">
        <v>0</v>
      </c>
      <c r="BD19" s="69">
        <v>0</v>
      </c>
      <c r="BE19" s="69">
        <v>0</v>
      </c>
      <c r="BF19" s="70">
        <f t="shared" si="20"/>
        <v>0</v>
      </c>
      <c r="BG19" s="70">
        <f t="shared" si="21"/>
        <v>0</v>
      </c>
      <c r="BH19" s="71" t="str">
        <f t="shared" si="22"/>
        <v>-</v>
      </c>
      <c r="BI19" s="67">
        <v>0</v>
      </c>
      <c r="BJ19" s="68">
        <v>0</v>
      </c>
      <c r="BK19" s="69">
        <v>0</v>
      </c>
      <c r="BL19" s="69">
        <v>0</v>
      </c>
      <c r="BM19" s="70">
        <f t="shared" si="23"/>
        <v>0</v>
      </c>
      <c r="BN19" s="70">
        <f t="shared" si="24"/>
        <v>0</v>
      </c>
      <c r="BO19" s="71" t="str">
        <f t="shared" si="25"/>
        <v>-</v>
      </c>
      <c r="BP19" s="67">
        <v>6</v>
      </c>
      <c r="BQ19" s="68">
        <v>5</v>
      </c>
      <c r="BR19" s="69">
        <v>52</v>
      </c>
      <c r="BS19" s="69">
        <v>42</v>
      </c>
      <c r="BT19" s="70">
        <f t="shared" si="26"/>
        <v>58</v>
      </c>
      <c r="BU19" s="70">
        <f t="shared" si="27"/>
        <v>47</v>
      </c>
      <c r="BV19" s="71">
        <f t="shared" si="28"/>
        <v>0.81034482758620685</v>
      </c>
      <c r="BW19" s="67">
        <f t="shared" si="40"/>
        <v>10</v>
      </c>
      <c r="BX19" s="68">
        <f t="shared" si="41"/>
        <v>8</v>
      </c>
      <c r="BY19" s="72">
        <f t="shared" si="42"/>
        <v>0.8</v>
      </c>
      <c r="BZ19" s="73">
        <f t="shared" si="43"/>
        <v>102</v>
      </c>
      <c r="CA19" s="69">
        <f t="shared" si="44"/>
        <v>76</v>
      </c>
      <c r="CB19" s="74">
        <f t="shared" si="45"/>
        <v>0.74509803921568629</v>
      </c>
      <c r="CC19" s="75">
        <f t="shared" si="46"/>
        <v>112</v>
      </c>
      <c r="CD19" s="76">
        <f t="shared" si="47"/>
        <v>84</v>
      </c>
      <c r="CE19" s="84">
        <f t="shared" si="48"/>
        <v>0.75</v>
      </c>
      <c r="CF19" s="77">
        <v>0</v>
      </c>
      <c r="CG19" s="78">
        <v>0</v>
      </c>
      <c r="CH19" s="79" t="str">
        <f t="shared" si="57"/>
        <v>-</v>
      </c>
      <c r="CI19" s="80">
        <v>0</v>
      </c>
      <c r="CJ19" s="80">
        <v>0</v>
      </c>
      <c r="CK19" s="81" t="str">
        <f t="shared" si="58"/>
        <v>-</v>
      </c>
      <c r="CL19" s="78">
        <v>0</v>
      </c>
      <c r="CM19" s="78">
        <v>0</v>
      </c>
      <c r="CN19" s="79" t="str">
        <f t="shared" si="59"/>
        <v>-</v>
      </c>
      <c r="CO19" s="80">
        <v>0</v>
      </c>
      <c r="CP19" s="80">
        <v>0</v>
      </c>
      <c r="CQ19" s="82" t="str">
        <f t="shared" si="60"/>
        <v>-</v>
      </c>
    </row>
    <row r="20" spans="1:95" s="17" customFormat="1" ht="21" customHeight="1" x14ac:dyDescent="0.2">
      <c r="A20" s="103">
        <v>14</v>
      </c>
      <c r="B20" s="104" t="s">
        <v>71</v>
      </c>
      <c r="C20" s="65" t="s">
        <v>15</v>
      </c>
      <c r="D20" s="66" t="s">
        <v>16</v>
      </c>
      <c r="E20" s="67">
        <v>0</v>
      </c>
      <c r="F20" s="68">
        <v>0</v>
      </c>
      <c r="G20" s="69">
        <v>0</v>
      </c>
      <c r="H20" s="69">
        <v>0</v>
      </c>
      <c r="I20" s="70">
        <f t="shared" si="37"/>
        <v>0</v>
      </c>
      <c r="J20" s="70">
        <f t="shared" si="38"/>
        <v>0</v>
      </c>
      <c r="K20" s="71" t="str">
        <f t="shared" si="39"/>
        <v>-</v>
      </c>
      <c r="L20" s="67">
        <v>0</v>
      </c>
      <c r="M20" s="68">
        <v>0</v>
      </c>
      <c r="N20" s="69">
        <v>0</v>
      </c>
      <c r="O20" s="69">
        <v>0</v>
      </c>
      <c r="P20" s="70">
        <f t="shared" si="2"/>
        <v>0</v>
      </c>
      <c r="Q20" s="70">
        <f t="shared" si="3"/>
        <v>0</v>
      </c>
      <c r="R20" s="71" t="str">
        <f t="shared" si="4"/>
        <v>-</v>
      </c>
      <c r="S20" s="67">
        <v>0</v>
      </c>
      <c r="T20" s="68">
        <v>0</v>
      </c>
      <c r="U20" s="69">
        <v>0</v>
      </c>
      <c r="V20" s="69">
        <v>0</v>
      </c>
      <c r="W20" s="70">
        <f t="shared" si="5"/>
        <v>0</v>
      </c>
      <c r="X20" s="70">
        <f t="shared" si="6"/>
        <v>0</v>
      </c>
      <c r="Y20" s="71" t="str">
        <f t="shared" si="7"/>
        <v>-</v>
      </c>
      <c r="Z20" s="67">
        <v>0</v>
      </c>
      <c r="AA20" s="68">
        <v>0</v>
      </c>
      <c r="AB20" s="69">
        <v>0</v>
      </c>
      <c r="AC20" s="69">
        <v>0</v>
      </c>
      <c r="AD20" s="70">
        <f t="shared" si="8"/>
        <v>0</v>
      </c>
      <c r="AE20" s="70">
        <f t="shared" si="9"/>
        <v>0</v>
      </c>
      <c r="AF20" s="71" t="str">
        <f t="shared" si="10"/>
        <v>-</v>
      </c>
      <c r="AG20" s="67">
        <v>0</v>
      </c>
      <c r="AH20" s="68">
        <v>0</v>
      </c>
      <c r="AI20" s="69">
        <v>0</v>
      </c>
      <c r="AJ20" s="69">
        <v>0</v>
      </c>
      <c r="AK20" s="70">
        <f t="shared" si="11"/>
        <v>0</v>
      </c>
      <c r="AL20" s="70">
        <f t="shared" si="12"/>
        <v>0</v>
      </c>
      <c r="AM20" s="71" t="str">
        <f t="shared" si="13"/>
        <v>-</v>
      </c>
      <c r="AN20" s="67">
        <v>10</v>
      </c>
      <c r="AO20" s="68">
        <v>8</v>
      </c>
      <c r="AP20" s="69">
        <v>71</v>
      </c>
      <c r="AQ20" s="69">
        <v>57</v>
      </c>
      <c r="AR20" s="70">
        <f t="shared" si="14"/>
        <v>81</v>
      </c>
      <c r="AS20" s="70">
        <f t="shared" si="15"/>
        <v>65</v>
      </c>
      <c r="AT20" s="71">
        <f t="shared" si="16"/>
        <v>0.80246913580246915</v>
      </c>
      <c r="AU20" s="67">
        <v>0</v>
      </c>
      <c r="AV20" s="68">
        <v>0</v>
      </c>
      <c r="AW20" s="69">
        <v>0</v>
      </c>
      <c r="AX20" s="69">
        <v>0</v>
      </c>
      <c r="AY20" s="70">
        <f t="shared" si="17"/>
        <v>0</v>
      </c>
      <c r="AZ20" s="70">
        <f t="shared" si="18"/>
        <v>0</v>
      </c>
      <c r="BA20" s="71" t="str">
        <f t="shared" si="19"/>
        <v>-</v>
      </c>
      <c r="BB20" s="67">
        <v>0</v>
      </c>
      <c r="BC20" s="68">
        <v>0</v>
      </c>
      <c r="BD20" s="69">
        <v>45</v>
      </c>
      <c r="BE20" s="69">
        <v>43</v>
      </c>
      <c r="BF20" s="70">
        <f t="shared" si="20"/>
        <v>45</v>
      </c>
      <c r="BG20" s="70">
        <f t="shared" si="21"/>
        <v>43</v>
      </c>
      <c r="BH20" s="71">
        <f t="shared" si="22"/>
        <v>0.9555555555555556</v>
      </c>
      <c r="BI20" s="67">
        <v>0</v>
      </c>
      <c r="BJ20" s="68">
        <v>0</v>
      </c>
      <c r="BK20" s="69">
        <v>0</v>
      </c>
      <c r="BL20" s="69">
        <v>0</v>
      </c>
      <c r="BM20" s="70">
        <f t="shared" si="23"/>
        <v>0</v>
      </c>
      <c r="BN20" s="70">
        <f t="shared" si="24"/>
        <v>0</v>
      </c>
      <c r="BO20" s="71" t="str">
        <f t="shared" si="25"/>
        <v>-</v>
      </c>
      <c r="BP20" s="67">
        <v>0</v>
      </c>
      <c r="BQ20" s="68">
        <v>0</v>
      </c>
      <c r="BR20" s="69">
        <v>0</v>
      </c>
      <c r="BS20" s="69">
        <v>0</v>
      </c>
      <c r="BT20" s="70">
        <f t="shared" si="26"/>
        <v>0</v>
      </c>
      <c r="BU20" s="70">
        <f t="shared" si="27"/>
        <v>0</v>
      </c>
      <c r="BV20" s="71" t="str">
        <f t="shared" si="28"/>
        <v>-</v>
      </c>
      <c r="BW20" s="67">
        <f t="shared" si="40"/>
        <v>10</v>
      </c>
      <c r="BX20" s="68">
        <f t="shared" si="41"/>
        <v>8</v>
      </c>
      <c r="BY20" s="72">
        <f t="shared" si="42"/>
        <v>0.8</v>
      </c>
      <c r="BZ20" s="73">
        <f t="shared" si="43"/>
        <v>116</v>
      </c>
      <c r="CA20" s="69">
        <f t="shared" si="44"/>
        <v>100</v>
      </c>
      <c r="CB20" s="74">
        <f t="shared" si="45"/>
        <v>0.86206896551724133</v>
      </c>
      <c r="CC20" s="75">
        <f t="shared" si="46"/>
        <v>126</v>
      </c>
      <c r="CD20" s="76">
        <f t="shared" si="47"/>
        <v>108</v>
      </c>
      <c r="CE20" s="84">
        <f t="shared" si="48"/>
        <v>0.8571428571428571</v>
      </c>
      <c r="CF20" s="77">
        <v>0</v>
      </c>
      <c r="CG20" s="78">
        <v>0</v>
      </c>
      <c r="CH20" s="79" t="str">
        <f t="shared" ref="CH20:CH23" si="61">IFERROR(CG20/CF20,"-")</f>
        <v>-</v>
      </c>
      <c r="CI20" s="80">
        <v>0</v>
      </c>
      <c r="CJ20" s="80">
        <v>0</v>
      </c>
      <c r="CK20" s="81" t="str">
        <f t="shared" ref="CK20:CK23" si="62">IFERROR(CJ20/CI20,"-")</f>
        <v>-</v>
      </c>
      <c r="CL20" s="78">
        <v>0</v>
      </c>
      <c r="CM20" s="78">
        <v>0</v>
      </c>
      <c r="CN20" s="79" t="str">
        <f t="shared" ref="CN20:CN23" si="63">IFERROR(CM20/CL20,"-")</f>
        <v>-</v>
      </c>
      <c r="CO20" s="80">
        <v>0</v>
      </c>
      <c r="CP20" s="80">
        <v>0</v>
      </c>
      <c r="CQ20" s="82" t="str">
        <f t="shared" ref="CQ20:CQ23" si="64">IFERROR(CP20/CO20,"-")</f>
        <v>-</v>
      </c>
    </row>
    <row r="21" spans="1:95" s="17" customFormat="1" ht="21" customHeight="1" x14ac:dyDescent="0.2">
      <c r="A21" s="103">
        <v>15</v>
      </c>
      <c r="B21" s="104" t="s">
        <v>72</v>
      </c>
      <c r="C21" s="65" t="s">
        <v>15</v>
      </c>
      <c r="D21" s="66" t="s">
        <v>16</v>
      </c>
      <c r="E21" s="67">
        <v>0</v>
      </c>
      <c r="F21" s="68">
        <v>0</v>
      </c>
      <c r="G21" s="69">
        <v>0</v>
      </c>
      <c r="H21" s="69">
        <v>0</v>
      </c>
      <c r="I21" s="70">
        <f t="shared" si="37"/>
        <v>0</v>
      </c>
      <c r="J21" s="70">
        <f t="shared" si="38"/>
        <v>0</v>
      </c>
      <c r="K21" s="71" t="str">
        <f t="shared" si="39"/>
        <v>-</v>
      </c>
      <c r="L21" s="67">
        <v>0</v>
      </c>
      <c r="M21" s="68">
        <v>0</v>
      </c>
      <c r="N21" s="69">
        <v>0</v>
      </c>
      <c r="O21" s="69">
        <v>0</v>
      </c>
      <c r="P21" s="70">
        <f t="shared" si="2"/>
        <v>0</v>
      </c>
      <c r="Q21" s="70">
        <f t="shared" si="3"/>
        <v>0</v>
      </c>
      <c r="R21" s="71" t="str">
        <f t="shared" si="4"/>
        <v>-</v>
      </c>
      <c r="S21" s="67">
        <v>12</v>
      </c>
      <c r="T21" s="68">
        <v>11</v>
      </c>
      <c r="U21" s="69">
        <v>13</v>
      </c>
      <c r="V21" s="69">
        <v>11</v>
      </c>
      <c r="W21" s="70">
        <f t="shared" si="5"/>
        <v>25</v>
      </c>
      <c r="X21" s="70">
        <f t="shared" si="6"/>
        <v>22</v>
      </c>
      <c r="Y21" s="71">
        <f t="shared" si="7"/>
        <v>0.88</v>
      </c>
      <c r="Z21" s="67">
        <v>0</v>
      </c>
      <c r="AA21" s="68">
        <v>0</v>
      </c>
      <c r="AB21" s="69">
        <v>0</v>
      </c>
      <c r="AC21" s="69">
        <v>0</v>
      </c>
      <c r="AD21" s="70">
        <f t="shared" si="8"/>
        <v>0</v>
      </c>
      <c r="AE21" s="70">
        <f t="shared" si="9"/>
        <v>0</v>
      </c>
      <c r="AF21" s="71" t="str">
        <f t="shared" si="10"/>
        <v>-</v>
      </c>
      <c r="AG21" s="67">
        <v>0</v>
      </c>
      <c r="AH21" s="68">
        <v>0</v>
      </c>
      <c r="AI21" s="69">
        <v>0</v>
      </c>
      <c r="AJ21" s="69">
        <v>0</v>
      </c>
      <c r="AK21" s="70">
        <f t="shared" si="11"/>
        <v>0</v>
      </c>
      <c r="AL21" s="70">
        <f t="shared" si="12"/>
        <v>0</v>
      </c>
      <c r="AM21" s="71" t="str">
        <f t="shared" si="13"/>
        <v>-</v>
      </c>
      <c r="AN21" s="67">
        <v>2</v>
      </c>
      <c r="AO21" s="68">
        <v>2</v>
      </c>
      <c r="AP21" s="69">
        <v>54</v>
      </c>
      <c r="AQ21" s="69">
        <v>44</v>
      </c>
      <c r="AR21" s="70">
        <f t="shared" si="14"/>
        <v>56</v>
      </c>
      <c r="AS21" s="70">
        <f t="shared" si="15"/>
        <v>46</v>
      </c>
      <c r="AT21" s="71">
        <f t="shared" si="16"/>
        <v>0.8214285714285714</v>
      </c>
      <c r="AU21" s="67">
        <v>0</v>
      </c>
      <c r="AV21" s="68">
        <v>0</v>
      </c>
      <c r="AW21" s="69">
        <v>0</v>
      </c>
      <c r="AX21" s="69">
        <v>0</v>
      </c>
      <c r="AY21" s="70">
        <f t="shared" si="17"/>
        <v>0</v>
      </c>
      <c r="AZ21" s="70">
        <f t="shared" si="18"/>
        <v>0</v>
      </c>
      <c r="BA21" s="71" t="str">
        <f t="shared" si="19"/>
        <v>-</v>
      </c>
      <c r="BB21" s="67">
        <v>13</v>
      </c>
      <c r="BC21" s="68">
        <v>9</v>
      </c>
      <c r="BD21" s="69">
        <v>33</v>
      </c>
      <c r="BE21" s="69">
        <v>25</v>
      </c>
      <c r="BF21" s="70">
        <f t="shared" si="20"/>
        <v>46</v>
      </c>
      <c r="BG21" s="70">
        <f t="shared" si="21"/>
        <v>34</v>
      </c>
      <c r="BH21" s="71">
        <f t="shared" si="22"/>
        <v>0.73913043478260865</v>
      </c>
      <c r="BI21" s="67">
        <v>0</v>
      </c>
      <c r="BJ21" s="68">
        <v>0</v>
      </c>
      <c r="BK21" s="69">
        <v>0</v>
      </c>
      <c r="BL21" s="69">
        <v>0</v>
      </c>
      <c r="BM21" s="70">
        <f t="shared" si="23"/>
        <v>0</v>
      </c>
      <c r="BN21" s="70">
        <f t="shared" si="24"/>
        <v>0</v>
      </c>
      <c r="BO21" s="71" t="str">
        <f t="shared" si="25"/>
        <v>-</v>
      </c>
      <c r="BP21" s="67">
        <v>0</v>
      </c>
      <c r="BQ21" s="68">
        <v>0</v>
      </c>
      <c r="BR21" s="69">
        <v>0</v>
      </c>
      <c r="BS21" s="69">
        <v>0</v>
      </c>
      <c r="BT21" s="70">
        <f t="shared" si="26"/>
        <v>0</v>
      </c>
      <c r="BU21" s="70">
        <f t="shared" si="27"/>
        <v>0</v>
      </c>
      <c r="BV21" s="71" t="str">
        <f t="shared" si="28"/>
        <v>-</v>
      </c>
      <c r="BW21" s="67">
        <f t="shared" si="40"/>
        <v>27</v>
      </c>
      <c r="BX21" s="68">
        <f t="shared" si="41"/>
        <v>22</v>
      </c>
      <c r="BY21" s="72">
        <f t="shared" si="42"/>
        <v>0.81481481481481477</v>
      </c>
      <c r="BZ21" s="73">
        <f t="shared" si="43"/>
        <v>100</v>
      </c>
      <c r="CA21" s="69">
        <f t="shared" si="44"/>
        <v>80</v>
      </c>
      <c r="CB21" s="74">
        <f t="shared" si="45"/>
        <v>0.8</v>
      </c>
      <c r="CC21" s="75">
        <f t="shared" si="46"/>
        <v>127</v>
      </c>
      <c r="CD21" s="76">
        <f t="shared" si="47"/>
        <v>102</v>
      </c>
      <c r="CE21" s="84">
        <f t="shared" si="48"/>
        <v>0.80314960629921262</v>
      </c>
      <c r="CF21" s="77">
        <v>0</v>
      </c>
      <c r="CG21" s="78">
        <v>0</v>
      </c>
      <c r="CH21" s="79" t="str">
        <f t="shared" si="61"/>
        <v>-</v>
      </c>
      <c r="CI21" s="80">
        <v>0</v>
      </c>
      <c r="CJ21" s="80">
        <v>0</v>
      </c>
      <c r="CK21" s="81" t="str">
        <f t="shared" si="62"/>
        <v>-</v>
      </c>
      <c r="CL21" s="78">
        <v>0</v>
      </c>
      <c r="CM21" s="78">
        <v>0</v>
      </c>
      <c r="CN21" s="79" t="str">
        <f t="shared" si="63"/>
        <v>-</v>
      </c>
      <c r="CO21" s="80">
        <v>0</v>
      </c>
      <c r="CP21" s="80">
        <v>0</v>
      </c>
      <c r="CQ21" s="82" t="str">
        <f t="shared" si="64"/>
        <v>-</v>
      </c>
    </row>
    <row r="22" spans="1:95" s="17" customFormat="1" ht="21" customHeight="1" x14ac:dyDescent="0.2">
      <c r="A22" s="103">
        <v>16</v>
      </c>
      <c r="B22" s="104" t="s">
        <v>47</v>
      </c>
      <c r="C22" s="65" t="s">
        <v>17</v>
      </c>
      <c r="D22" s="66" t="s">
        <v>18</v>
      </c>
      <c r="E22" s="67">
        <v>0</v>
      </c>
      <c r="F22" s="68">
        <v>0</v>
      </c>
      <c r="G22" s="69">
        <v>0</v>
      </c>
      <c r="H22" s="69">
        <v>0</v>
      </c>
      <c r="I22" s="70">
        <f t="shared" si="37"/>
        <v>0</v>
      </c>
      <c r="J22" s="70">
        <f t="shared" si="38"/>
        <v>0</v>
      </c>
      <c r="K22" s="71" t="str">
        <f t="shared" si="39"/>
        <v>-</v>
      </c>
      <c r="L22" s="67">
        <v>0</v>
      </c>
      <c r="M22" s="68">
        <v>0</v>
      </c>
      <c r="N22" s="69">
        <v>0</v>
      </c>
      <c r="O22" s="69">
        <v>0</v>
      </c>
      <c r="P22" s="70">
        <f t="shared" si="2"/>
        <v>0</v>
      </c>
      <c r="Q22" s="70">
        <f t="shared" si="3"/>
        <v>0</v>
      </c>
      <c r="R22" s="71" t="str">
        <f t="shared" si="4"/>
        <v>-</v>
      </c>
      <c r="S22" s="67">
        <v>10</v>
      </c>
      <c r="T22" s="68">
        <v>10</v>
      </c>
      <c r="U22" s="69">
        <v>29</v>
      </c>
      <c r="V22" s="69">
        <v>27</v>
      </c>
      <c r="W22" s="70">
        <f t="shared" si="5"/>
        <v>39</v>
      </c>
      <c r="X22" s="70">
        <f t="shared" si="6"/>
        <v>37</v>
      </c>
      <c r="Y22" s="71">
        <f t="shared" si="7"/>
        <v>0.94871794871794868</v>
      </c>
      <c r="Z22" s="67">
        <v>0</v>
      </c>
      <c r="AA22" s="68">
        <v>0</v>
      </c>
      <c r="AB22" s="69">
        <v>0</v>
      </c>
      <c r="AC22" s="69">
        <v>0</v>
      </c>
      <c r="AD22" s="70">
        <f t="shared" si="8"/>
        <v>0</v>
      </c>
      <c r="AE22" s="70">
        <f t="shared" si="9"/>
        <v>0</v>
      </c>
      <c r="AF22" s="71" t="str">
        <f t="shared" si="10"/>
        <v>-</v>
      </c>
      <c r="AG22" s="67">
        <v>21</v>
      </c>
      <c r="AH22" s="68">
        <v>19</v>
      </c>
      <c r="AI22" s="69">
        <v>20</v>
      </c>
      <c r="AJ22" s="69">
        <v>20</v>
      </c>
      <c r="AK22" s="70">
        <f t="shared" si="11"/>
        <v>41</v>
      </c>
      <c r="AL22" s="70">
        <f t="shared" si="12"/>
        <v>39</v>
      </c>
      <c r="AM22" s="71">
        <f t="shared" si="13"/>
        <v>0.95121951219512191</v>
      </c>
      <c r="AN22" s="67">
        <v>9</v>
      </c>
      <c r="AO22" s="68">
        <v>9</v>
      </c>
      <c r="AP22" s="69">
        <v>36</v>
      </c>
      <c r="AQ22" s="69">
        <v>31</v>
      </c>
      <c r="AR22" s="70">
        <f t="shared" si="14"/>
        <v>45</v>
      </c>
      <c r="AS22" s="70">
        <f t="shared" si="15"/>
        <v>40</v>
      </c>
      <c r="AT22" s="71">
        <f t="shared" si="16"/>
        <v>0.88888888888888884</v>
      </c>
      <c r="AU22" s="67">
        <v>65</v>
      </c>
      <c r="AV22" s="68">
        <v>64</v>
      </c>
      <c r="AW22" s="69">
        <v>99</v>
      </c>
      <c r="AX22" s="69">
        <v>93</v>
      </c>
      <c r="AY22" s="70">
        <f t="shared" si="17"/>
        <v>164</v>
      </c>
      <c r="AZ22" s="70">
        <f t="shared" si="18"/>
        <v>157</v>
      </c>
      <c r="BA22" s="71">
        <f t="shared" si="19"/>
        <v>0.95731707317073167</v>
      </c>
      <c r="BB22" s="67">
        <v>30</v>
      </c>
      <c r="BC22" s="68">
        <v>28</v>
      </c>
      <c r="BD22" s="69">
        <v>79</v>
      </c>
      <c r="BE22" s="69">
        <v>74</v>
      </c>
      <c r="BF22" s="70">
        <f t="shared" si="20"/>
        <v>109</v>
      </c>
      <c r="BG22" s="70">
        <f t="shared" si="21"/>
        <v>102</v>
      </c>
      <c r="BH22" s="71">
        <f t="shared" si="22"/>
        <v>0.93577981651376152</v>
      </c>
      <c r="BI22" s="67">
        <v>0</v>
      </c>
      <c r="BJ22" s="68">
        <v>0</v>
      </c>
      <c r="BK22" s="69">
        <v>0</v>
      </c>
      <c r="BL22" s="69">
        <v>0</v>
      </c>
      <c r="BM22" s="70">
        <f t="shared" si="23"/>
        <v>0</v>
      </c>
      <c r="BN22" s="70">
        <f t="shared" si="24"/>
        <v>0</v>
      </c>
      <c r="BO22" s="71" t="str">
        <f t="shared" si="25"/>
        <v>-</v>
      </c>
      <c r="BP22" s="67">
        <v>26</v>
      </c>
      <c r="BQ22" s="68">
        <v>25</v>
      </c>
      <c r="BR22" s="69">
        <v>23</v>
      </c>
      <c r="BS22" s="69">
        <v>20</v>
      </c>
      <c r="BT22" s="70">
        <f t="shared" si="26"/>
        <v>49</v>
      </c>
      <c r="BU22" s="70">
        <f t="shared" si="27"/>
        <v>45</v>
      </c>
      <c r="BV22" s="71">
        <f t="shared" si="28"/>
        <v>0.91836734693877553</v>
      </c>
      <c r="BW22" s="67">
        <f t="shared" si="40"/>
        <v>161</v>
      </c>
      <c r="BX22" s="68">
        <f t="shared" si="41"/>
        <v>155</v>
      </c>
      <c r="BY22" s="72">
        <f t="shared" si="42"/>
        <v>0.96273291925465843</v>
      </c>
      <c r="BZ22" s="73">
        <f t="shared" si="43"/>
        <v>286</v>
      </c>
      <c r="CA22" s="69">
        <f t="shared" si="44"/>
        <v>265</v>
      </c>
      <c r="CB22" s="74">
        <f t="shared" si="45"/>
        <v>0.92657342657342656</v>
      </c>
      <c r="CC22" s="75">
        <f t="shared" si="46"/>
        <v>447</v>
      </c>
      <c r="CD22" s="76">
        <f t="shared" si="47"/>
        <v>420</v>
      </c>
      <c r="CE22" s="84">
        <f t="shared" si="48"/>
        <v>0.93959731543624159</v>
      </c>
      <c r="CF22" s="77">
        <v>0</v>
      </c>
      <c r="CG22" s="78">
        <v>0</v>
      </c>
      <c r="CH22" s="79" t="str">
        <f t="shared" si="61"/>
        <v>-</v>
      </c>
      <c r="CI22" s="80">
        <v>0</v>
      </c>
      <c r="CJ22" s="80">
        <v>0</v>
      </c>
      <c r="CK22" s="81" t="str">
        <f t="shared" si="62"/>
        <v>-</v>
      </c>
      <c r="CL22" s="78">
        <v>0</v>
      </c>
      <c r="CM22" s="78">
        <v>0</v>
      </c>
      <c r="CN22" s="79" t="str">
        <f t="shared" si="63"/>
        <v>-</v>
      </c>
      <c r="CO22" s="80">
        <v>0</v>
      </c>
      <c r="CP22" s="80">
        <v>0</v>
      </c>
      <c r="CQ22" s="82" t="str">
        <f t="shared" si="64"/>
        <v>-</v>
      </c>
    </row>
    <row r="23" spans="1:95" s="17" customFormat="1" ht="21" customHeight="1" x14ac:dyDescent="0.2">
      <c r="A23" s="103">
        <v>17</v>
      </c>
      <c r="B23" s="104" t="s">
        <v>48</v>
      </c>
      <c r="C23" s="65" t="s">
        <v>15</v>
      </c>
      <c r="D23" s="66" t="s">
        <v>16</v>
      </c>
      <c r="E23" s="67">
        <v>0</v>
      </c>
      <c r="F23" s="68">
        <v>0</v>
      </c>
      <c r="G23" s="69">
        <v>0</v>
      </c>
      <c r="H23" s="69">
        <v>0</v>
      </c>
      <c r="I23" s="70">
        <f t="shared" si="37"/>
        <v>0</v>
      </c>
      <c r="J23" s="70">
        <f t="shared" si="38"/>
        <v>0</v>
      </c>
      <c r="K23" s="71" t="str">
        <f t="shared" si="39"/>
        <v>-</v>
      </c>
      <c r="L23" s="67">
        <v>49</v>
      </c>
      <c r="M23" s="68">
        <v>41</v>
      </c>
      <c r="N23" s="69">
        <v>0</v>
      </c>
      <c r="O23" s="69">
        <v>0</v>
      </c>
      <c r="P23" s="70">
        <f t="shared" si="2"/>
        <v>49</v>
      </c>
      <c r="Q23" s="70">
        <f t="shared" si="3"/>
        <v>41</v>
      </c>
      <c r="R23" s="71">
        <f t="shared" si="4"/>
        <v>0.83673469387755106</v>
      </c>
      <c r="S23" s="67">
        <v>40</v>
      </c>
      <c r="T23" s="68">
        <v>38</v>
      </c>
      <c r="U23" s="69">
        <v>12</v>
      </c>
      <c r="V23" s="69">
        <v>10</v>
      </c>
      <c r="W23" s="70">
        <f t="shared" si="5"/>
        <v>52</v>
      </c>
      <c r="X23" s="70">
        <f t="shared" si="6"/>
        <v>48</v>
      </c>
      <c r="Y23" s="71">
        <f t="shared" si="7"/>
        <v>0.92307692307692313</v>
      </c>
      <c r="Z23" s="67">
        <v>0</v>
      </c>
      <c r="AA23" s="68">
        <v>0</v>
      </c>
      <c r="AB23" s="69">
        <v>0</v>
      </c>
      <c r="AC23" s="69">
        <v>0</v>
      </c>
      <c r="AD23" s="70">
        <f t="shared" si="8"/>
        <v>0</v>
      </c>
      <c r="AE23" s="70">
        <f t="shared" si="9"/>
        <v>0</v>
      </c>
      <c r="AF23" s="71" t="str">
        <f t="shared" si="10"/>
        <v>-</v>
      </c>
      <c r="AG23" s="67">
        <v>32</v>
      </c>
      <c r="AH23" s="68">
        <v>28</v>
      </c>
      <c r="AI23" s="69">
        <v>17</v>
      </c>
      <c r="AJ23" s="69">
        <v>15</v>
      </c>
      <c r="AK23" s="70">
        <f t="shared" si="11"/>
        <v>49</v>
      </c>
      <c r="AL23" s="70">
        <f t="shared" si="12"/>
        <v>43</v>
      </c>
      <c r="AM23" s="71">
        <f t="shared" si="13"/>
        <v>0.87755102040816324</v>
      </c>
      <c r="AN23" s="67">
        <v>15</v>
      </c>
      <c r="AO23" s="68">
        <v>10</v>
      </c>
      <c r="AP23" s="69">
        <v>22</v>
      </c>
      <c r="AQ23" s="69">
        <v>15</v>
      </c>
      <c r="AR23" s="70">
        <f t="shared" si="14"/>
        <v>37</v>
      </c>
      <c r="AS23" s="70">
        <f t="shared" si="15"/>
        <v>25</v>
      </c>
      <c r="AT23" s="71">
        <f t="shared" si="16"/>
        <v>0.67567567567567566</v>
      </c>
      <c r="AU23" s="67">
        <v>55</v>
      </c>
      <c r="AV23" s="68">
        <v>46</v>
      </c>
      <c r="AW23" s="69">
        <v>17</v>
      </c>
      <c r="AX23" s="69">
        <v>17</v>
      </c>
      <c r="AY23" s="70">
        <f t="shared" si="17"/>
        <v>72</v>
      </c>
      <c r="AZ23" s="70">
        <f t="shared" si="18"/>
        <v>63</v>
      </c>
      <c r="BA23" s="71">
        <f t="shared" si="19"/>
        <v>0.875</v>
      </c>
      <c r="BB23" s="67">
        <v>16</v>
      </c>
      <c r="BC23" s="68">
        <v>10</v>
      </c>
      <c r="BD23" s="69">
        <v>14</v>
      </c>
      <c r="BE23" s="69">
        <v>11</v>
      </c>
      <c r="BF23" s="70">
        <f t="shared" si="20"/>
        <v>30</v>
      </c>
      <c r="BG23" s="70">
        <f t="shared" si="21"/>
        <v>21</v>
      </c>
      <c r="BH23" s="71">
        <f t="shared" si="22"/>
        <v>0.7</v>
      </c>
      <c r="BI23" s="67">
        <v>0</v>
      </c>
      <c r="BJ23" s="68">
        <v>0</v>
      </c>
      <c r="BK23" s="69">
        <v>0</v>
      </c>
      <c r="BL23" s="69">
        <v>0</v>
      </c>
      <c r="BM23" s="70">
        <f t="shared" si="23"/>
        <v>0</v>
      </c>
      <c r="BN23" s="70">
        <f t="shared" si="24"/>
        <v>0</v>
      </c>
      <c r="BO23" s="71" t="str">
        <f t="shared" si="25"/>
        <v>-</v>
      </c>
      <c r="BP23" s="67">
        <v>0</v>
      </c>
      <c r="BQ23" s="68">
        <v>0</v>
      </c>
      <c r="BR23" s="69">
        <v>0</v>
      </c>
      <c r="BS23" s="69">
        <v>0</v>
      </c>
      <c r="BT23" s="70">
        <f t="shared" si="26"/>
        <v>0</v>
      </c>
      <c r="BU23" s="70">
        <f t="shared" si="27"/>
        <v>0</v>
      </c>
      <c r="BV23" s="71" t="str">
        <f t="shared" si="28"/>
        <v>-</v>
      </c>
      <c r="BW23" s="67">
        <f t="shared" si="40"/>
        <v>207</v>
      </c>
      <c r="BX23" s="68">
        <f t="shared" si="41"/>
        <v>173</v>
      </c>
      <c r="BY23" s="72">
        <f t="shared" si="42"/>
        <v>0.83574879227053145</v>
      </c>
      <c r="BZ23" s="73">
        <f t="shared" si="43"/>
        <v>82</v>
      </c>
      <c r="CA23" s="69">
        <f t="shared" si="44"/>
        <v>68</v>
      </c>
      <c r="CB23" s="74">
        <f t="shared" si="45"/>
        <v>0.82926829268292679</v>
      </c>
      <c r="CC23" s="75">
        <f t="shared" si="46"/>
        <v>289</v>
      </c>
      <c r="CD23" s="76">
        <f t="shared" si="47"/>
        <v>241</v>
      </c>
      <c r="CE23" s="84">
        <f t="shared" si="48"/>
        <v>0.83391003460207613</v>
      </c>
      <c r="CF23" s="77">
        <v>0</v>
      </c>
      <c r="CG23" s="78">
        <v>0</v>
      </c>
      <c r="CH23" s="79" t="str">
        <f t="shared" si="61"/>
        <v>-</v>
      </c>
      <c r="CI23" s="80">
        <v>0</v>
      </c>
      <c r="CJ23" s="80">
        <v>0</v>
      </c>
      <c r="CK23" s="81" t="str">
        <f t="shared" si="62"/>
        <v>-</v>
      </c>
      <c r="CL23" s="78">
        <v>0</v>
      </c>
      <c r="CM23" s="78">
        <v>0</v>
      </c>
      <c r="CN23" s="79" t="str">
        <f t="shared" si="63"/>
        <v>-</v>
      </c>
      <c r="CO23" s="80">
        <v>0</v>
      </c>
      <c r="CP23" s="80">
        <v>0</v>
      </c>
      <c r="CQ23" s="82" t="str">
        <f t="shared" si="64"/>
        <v>-</v>
      </c>
    </row>
    <row r="24" spans="1:95" s="17" customFormat="1" ht="21" customHeight="1" x14ac:dyDescent="0.2">
      <c r="A24" s="103">
        <v>18</v>
      </c>
      <c r="B24" s="104" t="s">
        <v>50</v>
      </c>
      <c r="C24" s="65" t="s">
        <v>17</v>
      </c>
      <c r="D24" s="66" t="s">
        <v>19</v>
      </c>
      <c r="E24" s="67">
        <v>0</v>
      </c>
      <c r="F24" s="68">
        <v>0</v>
      </c>
      <c r="G24" s="69">
        <v>0</v>
      </c>
      <c r="H24" s="69">
        <v>0</v>
      </c>
      <c r="I24" s="70">
        <f t="shared" si="37"/>
        <v>0</v>
      </c>
      <c r="J24" s="70">
        <f t="shared" si="38"/>
        <v>0</v>
      </c>
      <c r="K24" s="71" t="str">
        <f t="shared" si="39"/>
        <v>-</v>
      </c>
      <c r="L24" s="67">
        <v>0</v>
      </c>
      <c r="M24" s="68">
        <v>0</v>
      </c>
      <c r="N24" s="69">
        <v>0</v>
      </c>
      <c r="O24" s="69">
        <v>0</v>
      </c>
      <c r="P24" s="70">
        <f t="shared" si="2"/>
        <v>0</v>
      </c>
      <c r="Q24" s="70">
        <f t="shared" si="3"/>
        <v>0</v>
      </c>
      <c r="R24" s="71" t="str">
        <f t="shared" si="4"/>
        <v>-</v>
      </c>
      <c r="S24" s="67">
        <v>0</v>
      </c>
      <c r="T24" s="68">
        <v>0</v>
      </c>
      <c r="U24" s="69">
        <v>0</v>
      </c>
      <c r="V24" s="69">
        <v>0</v>
      </c>
      <c r="W24" s="70">
        <f t="shared" si="5"/>
        <v>0</v>
      </c>
      <c r="X24" s="70">
        <f t="shared" si="6"/>
        <v>0</v>
      </c>
      <c r="Y24" s="71" t="str">
        <f t="shared" si="7"/>
        <v>-</v>
      </c>
      <c r="Z24" s="67">
        <v>0</v>
      </c>
      <c r="AA24" s="68">
        <v>0</v>
      </c>
      <c r="AB24" s="69">
        <v>0</v>
      </c>
      <c r="AC24" s="69">
        <v>0</v>
      </c>
      <c r="AD24" s="70">
        <f t="shared" si="8"/>
        <v>0</v>
      </c>
      <c r="AE24" s="70">
        <f t="shared" si="9"/>
        <v>0</v>
      </c>
      <c r="AF24" s="71" t="str">
        <f t="shared" si="10"/>
        <v>-</v>
      </c>
      <c r="AG24" s="67">
        <v>0</v>
      </c>
      <c r="AH24" s="68">
        <v>0</v>
      </c>
      <c r="AI24" s="69">
        <v>0</v>
      </c>
      <c r="AJ24" s="69">
        <v>0</v>
      </c>
      <c r="AK24" s="70">
        <f t="shared" si="11"/>
        <v>0</v>
      </c>
      <c r="AL24" s="70">
        <f t="shared" si="12"/>
        <v>0</v>
      </c>
      <c r="AM24" s="71" t="str">
        <f t="shared" si="13"/>
        <v>-</v>
      </c>
      <c r="AN24" s="67">
        <v>0</v>
      </c>
      <c r="AO24" s="68">
        <v>0</v>
      </c>
      <c r="AP24" s="69">
        <v>0</v>
      </c>
      <c r="AQ24" s="69">
        <v>0</v>
      </c>
      <c r="AR24" s="70">
        <f t="shared" si="14"/>
        <v>0</v>
      </c>
      <c r="AS24" s="70">
        <f t="shared" si="15"/>
        <v>0</v>
      </c>
      <c r="AT24" s="71" t="str">
        <f t="shared" si="16"/>
        <v>-</v>
      </c>
      <c r="AU24" s="67">
        <v>79</v>
      </c>
      <c r="AV24" s="68">
        <v>77</v>
      </c>
      <c r="AW24" s="69">
        <v>119</v>
      </c>
      <c r="AX24" s="69">
        <v>112</v>
      </c>
      <c r="AY24" s="70">
        <f t="shared" si="17"/>
        <v>198</v>
      </c>
      <c r="AZ24" s="70">
        <f t="shared" si="18"/>
        <v>189</v>
      </c>
      <c r="BA24" s="71">
        <f t="shared" si="19"/>
        <v>0.95454545454545459</v>
      </c>
      <c r="BB24" s="67">
        <v>0</v>
      </c>
      <c r="BC24" s="68">
        <v>0</v>
      </c>
      <c r="BD24" s="69">
        <v>0</v>
      </c>
      <c r="BE24" s="69">
        <v>0</v>
      </c>
      <c r="BF24" s="70">
        <f t="shared" si="20"/>
        <v>0</v>
      </c>
      <c r="BG24" s="70">
        <f t="shared" si="21"/>
        <v>0</v>
      </c>
      <c r="BH24" s="71" t="str">
        <f t="shared" si="22"/>
        <v>-</v>
      </c>
      <c r="BI24" s="67">
        <v>0</v>
      </c>
      <c r="BJ24" s="68">
        <v>0</v>
      </c>
      <c r="BK24" s="69">
        <v>0</v>
      </c>
      <c r="BL24" s="69">
        <v>0</v>
      </c>
      <c r="BM24" s="70">
        <f t="shared" si="23"/>
        <v>0</v>
      </c>
      <c r="BN24" s="70">
        <f t="shared" si="24"/>
        <v>0</v>
      </c>
      <c r="BO24" s="71" t="str">
        <f t="shared" si="25"/>
        <v>-</v>
      </c>
      <c r="BP24" s="67">
        <v>6</v>
      </c>
      <c r="BQ24" s="68">
        <v>6</v>
      </c>
      <c r="BR24" s="69">
        <v>42</v>
      </c>
      <c r="BS24" s="69">
        <v>41</v>
      </c>
      <c r="BT24" s="70">
        <f t="shared" si="26"/>
        <v>48</v>
      </c>
      <c r="BU24" s="70">
        <f t="shared" si="27"/>
        <v>47</v>
      </c>
      <c r="BV24" s="71">
        <f t="shared" si="28"/>
        <v>0.97916666666666663</v>
      </c>
      <c r="BW24" s="67">
        <f t="shared" si="40"/>
        <v>85</v>
      </c>
      <c r="BX24" s="68">
        <f t="shared" si="41"/>
        <v>83</v>
      </c>
      <c r="BY24" s="72">
        <f t="shared" si="42"/>
        <v>0.97647058823529409</v>
      </c>
      <c r="BZ24" s="73">
        <f t="shared" si="43"/>
        <v>161</v>
      </c>
      <c r="CA24" s="69">
        <f t="shared" si="44"/>
        <v>153</v>
      </c>
      <c r="CB24" s="74">
        <f t="shared" si="45"/>
        <v>0.9503105590062112</v>
      </c>
      <c r="CC24" s="75">
        <f t="shared" si="46"/>
        <v>246</v>
      </c>
      <c r="CD24" s="76">
        <f t="shared" si="47"/>
        <v>236</v>
      </c>
      <c r="CE24" s="84">
        <f t="shared" si="48"/>
        <v>0.95934959349593496</v>
      </c>
      <c r="CF24" s="77">
        <v>0</v>
      </c>
      <c r="CG24" s="78">
        <v>0</v>
      </c>
      <c r="CH24" s="79" t="str">
        <f t="shared" ref="CH24:CH27" si="65">IFERROR(CG24/CF24,"-")</f>
        <v>-</v>
      </c>
      <c r="CI24" s="80">
        <v>0</v>
      </c>
      <c r="CJ24" s="80">
        <v>0</v>
      </c>
      <c r="CK24" s="81" t="str">
        <f t="shared" ref="CK24:CK27" si="66">IFERROR(CJ24/CI24,"-")</f>
        <v>-</v>
      </c>
      <c r="CL24" s="78">
        <v>0</v>
      </c>
      <c r="CM24" s="78">
        <v>0</v>
      </c>
      <c r="CN24" s="79" t="str">
        <f t="shared" ref="CN24:CN27" si="67">IFERROR(CM24/CL24,"-")</f>
        <v>-</v>
      </c>
      <c r="CO24" s="80">
        <v>0</v>
      </c>
      <c r="CP24" s="80">
        <v>0</v>
      </c>
      <c r="CQ24" s="82" t="str">
        <f t="shared" ref="CQ24:CQ27" si="68">IFERROR(CP24/CO24,"-")</f>
        <v>-</v>
      </c>
    </row>
    <row r="25" spans="1:95" s="17" customFormat="1" ht="21" customHeight="1" x14ac:dyDescent="0.2">
      <c r="A25" s="103">
        <v>19</v>
      </c>
      <c r="B25" s="104" t="s">
        <v>49</v>
      </c>
      <c r="C25" s="65" t="s">
        <v>15</v>
      </c>
      <c r="D25" s="66" t="s">
        <v>16</v>
      </c>
      <c r="E25" s="67">
        <v>0</v>
      </c>
      <c r="F25" s="68">
        <v>0</v>
      </c>
      <c r="G25" s="69">
        <v>0</v>
      </c>
      <c r="H25" s="69">
        <v>0</v>
      </c>
      <c r="I25" s="70">
        <f t="shared" si="37"/>
        <v>0</v>
      </c>
      <c r="J25" s="70">
        <f t="shared" si="38"/>
        <v>0</v>
      </c>
      <c r="K25" s="71" t="str">
        <f t="shared" si="39"/>
        <v>-</v>
      </c>
      <c r="L25" s="67">
        <v>40</v>
      </c>
      <c r="M25" s="68">
        <v>39</v>
      </c>
      <c r="N25" s="69">
        <v>46</v>
      </c>
      <c r="O25" s="69">
        <v>44</v>
      </c>
      <c r="P25" s="70">
        <f t="shared" si="2"/>
        <v>86</v>
      </c>
      <c r="Q25" s="70">
        <f t="shared" si="3"/>
        <v>83</v>
      </c>
      <c r="R25" s="71">
        <f t="shared" si="4"/>
        <v>0.96511627906976749</v>
      </c>
      <c r="S25" s="67">
        <v>30</v>
      </c>
      <c r="T25" s="68">
        <v>27</v>
      </c>
      <c r="U25" s="69">
        <v>68</v>
      </c>
      <c r="V25" s="69">
        <v>63</v>
      </c>
      <c r="W25" s="70">
        <f t="shared" si="5"/>
        <v>98</v>
      </c>
      <c r="X25" s="70">
        <f t="shared" si="6"/>
        <v>90</v>
      </c>
      <c r="Y25" s="71">
        <f t="shared" si="7"/>
        <v>0.91836734693877553</v>
      </c>
      <c r="Z25" s="67">
        <v>0</v>
      </c>
      <c r="AA25" s="68">
        <v>0</v>
      </c>
      <c r="AB25" s="69">
        <v>0</v>
      </c>
      <c r="AC25" s="69">
        <v>0</v>
      </c>
      <c r="AD25" s="70">
        <f t="shared" si="8"/>
        <v>0</v>
      </c>
      <c r="AE25" s="70">
        <f t="shared" si="9"/>
        <v>0</v>
      </c>
      <c r="AF25" s="71" t="str">
        <f t="shared" si="10"/>
        <v>-</v>
      </c>
      <c r="AG25" s="67">
        <v>29</v>
      </c>
      <c r="AH25" s="68">
        <v>27</v>
      </c>
      <c r="AI25" s="69">
        <v>23</v>
      </c>
      <c r="AJ25" s="69">
        <v>21</v>
      </c>
      <c r="AK25" s="70">
        <f t="shared" si="11"/>
        <v>52</v>
      </c>
      <c r="AL25" s="70">
        <f t="shared" si="12"/>
        <v>48</v>
      </c>
      <c r="AM25" s="71">
        <f t="shared" si="13"/>
        <v>0.92307692307692313</v>
      </c>
      <c r="AN25" s="67">
        <v>7</v>
      </c>
      <c r="AO25" s="68">
        <v>10</v>
      </c>
      <c r="AP25" s="69">
        <v>23</v>
      </c>
      <c r="AQ25" s="69">
        <v>17</v>
      </c>
      <c r="AR25" s="70">
        <f t="shared" si="14"/>
        <v>30</v>
      </c>
      <c r="AS25" s="70">
        <f t="shared" si="15"/>
        <v>27</v>
      </c>
      <c r="AT25" s="71">
        <f t="shared" si="16"/>
        <v>0.9</v>
      </c>
      <c r="AU25" s="67">
        <v>0</v>
      </c>
      <c r="AV25" s="68">
        <v>0</v>
      </c>
      <c r="AW25" s="69">
        <v>0</v>
      </c>
      <c r="AX25" s="69">
        <v>0</v>
      </c>
      <c r="AY25" s="70">
        <f t="shared" si="17"/>
        <v>0</v>
      </c>
      <c r="AZ25" s="70">
        <f t="shared" si="18"/>
        <v>0</v>
      </c>
      <c r="BA25" s="71" t="str">
        <f t="shared" si="19"/>
        <v>-</v>
      </c>
      <c r="BB25" s="67">
        <v>0</v>
      </c>
      <c r="BC25" s="68">
        <v>0</v>
      </c>
      <c r="BD25" s="69">
        <v>0</v>
      </c>
      <c r="BE25" s="69">
        <v>0</v>
      </c>
      <c r="BF25" s="70">
        <f t="shared" si="20"/>
        <v>0</v>
      </c>
      <c r="BG25" s="70">
        <f t="shared" si="21"/>
        <v>0</v>
      </c>
      <c r="BH25" s="71" t="str">
        <f t="shared" si="22"/>
        <v>-</v>
      </c>
      <c r="BI25" s="67">
        <v>0</v>
      </c>
      <c r="BJ25" s="68">
        <v>0</v>
      </c>
      <c r="BK25" s="69">
        <v>0</v>
      </c>
      <c r="BL25" s="69">
        <v>0</v>
      </c>
      <c r="BM25" s="70">
        <f t="shared" si="23"/>
        <v>0</v>
      </c>
      <c r="BN25" s="70">
        <f t="shared" si="24"/>
        <v>0</v>
      </c>
      <c r="BO25" s="71" t="str">
        <f t="shared" si="25"/>
        <v>-</v>
      </c>
      <c r="BP25" s="67">
        <v>0</v>
      </c>
      <c r="BQ25" s="68">
        <v>0</v>
      </c>
      <c r="BR25" s="69">
        <v>0</v>
      </c>
      <c r="BS25" s="69">
        <v>0</v>
      </c>
      <c r="BT25" s="70">
        <f t="shared" si="26"/>
        <v>0</v>
      </c>
      <c r="BU25" s="70">
        <f t="shared" si="27"/>
        <v>0</v>
      </c>
      <c r="BV25" s="71" t="str">
        <f t="shared" si="28"/>
        <v>-</v>
      </c>
      <c r="BW25" s="67">
        <f t="shared" si="40"/>
        <v>106</v>
      </c>
      <c r="BX25" s="68">
        <f t="shared" si="41"/>
        <v>103</v>
      </c>
      <c r="BY25" s="72">
        <f t="shared" si="42"/>
        <v>0.97169811320754718</v>
      </c>
      <c r="BZ25" s="73">
        <f t="shared" si="43"/>
        <v>160</v>
      </c>
      <c r="CA25" s="69">
        <f t="shared" si="44"/>
        <v>145</v>
      </c>
      <c r="CB25" s="74">
        <f t="shared" si="45"/>
        <v>0.90625</v>
      </c>
      <c r="CC25" s="75">
        <f t="shared" si="46"/>
        <v>266</v>
      </c>
      <c r="CD25" s="76">
        <f t="shared" si="47"/>
        <v>248</v>
      </c>
      <c r="CE25" s="84">
        <f t="shared" si="48"/>
        <v>0.93233082706766912</v>
      </c>
      <c r="CF25" s="77">
        <v>0</v>
      </c>
      <c r="CG25" s="78">
        <v>0</v>
      </c>
      <c r="CH25" s="79" t="str">
        <f t="shared" si="65"/>
        <v>-</v>
      </c>
      <c r="CI25" s="80">
        <v>0</v>
      </c>
      <c r="CJ25" s="80">
        <v>0</v>
      </c>
      <c r="CK25" s="81" t="str">
        <f t="shared" si="66"/>
        <v>-</v>
      </c>
      <c r="CL25" s="78">
        <v>0</v>
      </c>
      <c r="CM25" s="78">
        <v>0</v>
      </c>
      <c r="CN25" s="79" t="str">
        <f t="shared" si="67"/>
        <v>-</v>
      </c>
      <c r="CO25" s="80">
        <v>0</v>
      </c>
      <c r="CP25" s="80">
        <v>0</v>
      </c>
      <c r="CQ25" s="82" t="str">
        <f t="shared" si="68"/>
        <v>-</v>
      </c>
    </row>
    <row r="26" spans="1:95" s="17" customFormat="1" ht="21" customHeight="1" x14ac:dyDescent="0.2">
      <c r="A26" s="103">
        <v>20</v>
      </c>
      <c r="B26" s="104" t="s">
        <v>25</v>
      </c>
      <c r="C26" s="65" t="s">
        <v>15</v>
      </c>
      <c r="D26" s="66" t="s">
        <v>16</v>
      </c>
      <c r="E26" s="67">
        <v>0</v>
      </c>
      <c r="F26" s="68">
        <v>0</v>
      </c>
      <c r="G26" s="69">
        <v>0</v>
      </c>
      <c r="H26" s="69">
        <v>0</v>
      </c>
      <c r="I26" s="70">
        <f t="shared" si="37"/>
        <v>0</v>
      </c>
      <c r="J26" s="70">
        <f t="shared" si="38"/>
        <v>0</v>
      </c>
      <c r="K26" s="71" t="str">
        <f t="shared" si="39"/>
        <v>-</v>
      </c>
      <c r="L26" s="67">
        <v>20</v>
      </c>
      <c r="M26" s="68">
        <v>19</v>
      </c>
      <c r="N26" s="69">
        <v>14</v>
      </c>
      <c r="O26" s="69">
        <v>13</v>
      </c>
      <c r="P26" s="70">
        <f t="shared" si="2"/>
        <v>34</v>
      </c>
      <c r="Q26" s="70">
        <f t="shared" si="3"/>
        <v>32</v>
      </c>
      <c r="R26" s="71">
        <f t="shared" si="4"/>
        <v>0.94117647058823528</v>
      </c>
      <c r="S26" s="67">
        <v>8</v>
      </c>
      <c r="T26" s="68">
        <v>6</v>
      </c>
      <c r="U26" s="69">
        <v>46</v>
      </c>
      <c r="V26" s="69">
        <v>39</v>
      </c>
      <c r="W26" s="70">
        <f t="shared" si="5"/>
        <v>54</v>
      </c>
      <c r="X26" s="70">
        <f t="shared" si="6"/>
        <v>45</v>
      </c>
      <c r="Y26" s="71">
        <f t="shared" si="7"/>
        <v>0.83333333333333337</v>
      </c>
      <c r="Z26" s="67">
        <v>0</v>
      </c>
      <c r="AA26" s="68">
        <v>0</v>
      </c>
      <c r="AB26" s="69">
        <v>0</v>
      </c>
      <c r="AC26" s="69">
        <v>0</v>
      </c>
      <c r="AD26" s="70">
        <f t="shared" si="8"/>
        <v>0</v>
      </c>
      <c r="AE26" s="70">
        <f t="shared" si="9"/>
        <v>0</v>
      </c>
      <c r="AF26" s="71" t="str">
        <f t="shared" si="10"/>
        <v>-</v>
      </c>
      <c r="AG26" s="67">
        <v>11</v>
      </c>
      <c r="AH26" s="68">
        <v>9</v>
      </c>
      <c r="AI26" s="69">
        <v>35</v>
      </c>
      <c r="AJ26" s="69">
        <v>31</v>
      </c>
      <c r="AK26" s="70">
        <f t="shared" si="11"/>
        <v>46</v>
      </c>
      <c r="AL26" s="70">
        <f t="shared" si="12"/>
        <v>40</v>
      </c>
      <c r="AM26" s="71">
        <f t="shared" si="13"/>
        <v>0.86956521739130432</v>
      </c>
      <c r="AN26" s="67">
        <v>3</v>
      </c>
      <c r="AO26" s="68">
        <v>2</v>
      </c>
      <c r="AP26" s="69">
        <v>162</v>
      </c>
      <c r="AQ26" s="69">
        <v>132</v>
      </c>
      <c r="AR26" s="70">
        <f t="shared" si="14"/>
        <v>165</v>
      </c>
      <c r="AS26" s="70">
        <f t="shared" si="15"/>
        <v>134</v>
      </c>
      <c r="AT26" s="71">
        <f t="shared" si="16"/>
        <v>0.81212121212121213</v>
      </c>
      <c r="AU26" s="67">
        <v>8</v>
      </c>
      <c r="AV26" s="68">
        <v>6</v>
      </c>
      <c r="AW26" s="69">
        <v>43</v>
      </c>
      <c r="AX26" s="69">
        <v>33</v>
      </c>
      <c r="AY26" s="70">
        <f t="shared" si="17"/>
        <v>51</v>
      </c>
      <c r="AZ26" s="70">
        <f t="shared" si="18"/>
        <v>39</v>
      </c>
      <c r="BA26" s="71">
        <f t="shared" si="19"/>
        <v>0.76470588235294112</v>
      </c>
      <c r="BB26" s="67">
        <v>10</v>
      </c>
      <c r="BC26" s="68">
        <v>8</v>
      </c>
      <c r="BD26" s="69">
        <v>44</v>
      </c>
      <c r="BE26" s="69">
        <v>34</v>
      </c>
      <c r="BF26" s="70">
        <f t="shared" si="20"/>
        <v>54</v>
      </c>
      <c r="BG26" s="70">
        <f t="shared" si="21"/>
        <v>42</v>
      </c>
      <c r="BH26" s="71">
        <f t="shared" si="22"/>
        <v>0.77777777777777779</v>
      </c>
      <c r="BI26" s="67">
        <v>0</v>
      </c>
      <c r="BJ26" s="68">
        <v>0</v>
      </c>
      <c r="BK26" s="69">
        <v>0</v>
      </c>
      <c r="BL26" s="69">
        <v>0</v>
      </c>
      <c r="BM26" s="70">
        <f t="shared" si="23"/>
        <v>0</v>
      </c>
      <c r="BN26" s="70">
        <f t="shared" si="24"/>
        <v>0</v>
      </c>
      <c r="BO26" s="71" t="str">
        <f t="shared" si="25"/>
        <v>-</v>
      </c>
      <c r="BP26" s="67">
        <v>5</v>
      </c>
      <c r="BQ26" s="68">
        <v>4</v>
      </c>
      <c r="BR26" s="69">
        <v>49</v>
      </c>
      <c r="BS26" s="69">
        <v>44</v>
      </c>
      <c r="BT26" s="70">
        <f t="shared" si="26"/>
        <v>54</v>
      </c>
      <c r="BU26" s="70">
        <f t="shared" si="27"/>
        <v>48</v>
      </c>
      <c r="BV26" s="71">
        <f t="shared" si="28"/>
        <v>0.88888888888888884</v>
      </c>
      <c r="BW26" s="67">
        <f t="shared" si="40"/>
        <v>65</v>
      </c>
      <c r="BX26" s="68">
        <f t="shared" si="41"/>
        <v>54</v>
      </c>
      <c r="BY26" s="72">
        <f t="shared" si="42"/>
        <v>0.83076923076923082</v>
      </c>
      <c r="BZ26" s="73">
        <f t="shared" si="43"/>
        <v>393</v>
      </c>
      <c r="CA26" s="69">
        <f t="shared" si="44"/>
        <v>326</v>
      </c>
      <c r="CB26" s="74">
        <f t="shared" si="45"/>
        <v>0.82951653944020354</v>
      </c>
      <c r="CC26" s="75">
        <f t="shared" si="46"/>
        <v>458</v>
      </c>
      <c r="CD26" s="76">
        <f t="shared" si="47"/>
        <v>380</v>
      </c>
      <c r="CE26" s="84">
        <f t="shared" si="48"/>
        <v>0.82969432314410485</v>
      </c>
      <c r="CF26" s="77">
        <v>0</v>
      </c>
      <c r="CG26" s="78">
        <v>0</v>
      </c>
      <c r="CH26" s="79" t="str">
        <f t="shared" si="65"/>
        <v>-</v>
      </c>
      <c r="CI26" s="80">
        <v>0</v>
      </c>
      <c r="CJ26" s="80">
        <v>0</v>
      </c>
      <c r="CK26" s="81" t="str">
        <f t="shared" si="66"/>
        <v>-</v>
      </c>
      <c r="CL26" s="78">
        <v>0</v>
      </c>
      <c r="CM26" s="78">
        <v>0</v>
      </c>
      <c r="CN26" s="79" t="str">
        <f t="shared" si="67"/>
        <v>-</v>
      </c>
      <c r="CO26" s="80">
        <v>0</v>
      </c>
      <c r="CP26" s="80">
        <v>0</v>
      </c>
      <c r="CQ26" s="82" t="str">
        <f t="shared" si="68"/>
        <v>-</v>
      </c>
    </row>
    <row r="27" spans="1:95" s="17" customFormat="1" ht="21" customHeight="1" x14ac:dyDescent="0.2">
      <c r="A27" s="103">
        <v>21</v>
      </c>
      <c r="B27" s="104" t="s">
        <v>2</v>
      </c>
      <c r="C27" s="65" t="s">
        <v>15</v>
      </c>
      <c r="D27" s="66" t="s">
        <v>16</v>
      </c>
      <c r="E27" s="67">
        <v>0</v>
      </c>
      <c r="F27" s="68">
        <v>0</v>
      </c>
      <c r="G27" s="69">
        <v>0</v>
      </c>
      <c r="H27" s="69">
        <v>0</v>
      </c>
      <c r="I27" s="70">
        <f t="shared" si="37"/>
        <v>0</v>
      </c>
      <c r="J27" s="70">
        <f t="shared" si="38"/>
        <v>0</v>
      </c>
      <c r="K27" s="71" t="str">
        <f t="shared" si="39"/>
        <v>-</v>
      </c>
      <c r="L27" s="67">
        <v>0</v>
      </c>
      <c r="M27" s="68">
        <v>0</v>
      </c>
      <c r="N27" s="69">
        <v>0</v>
      </c>
      <c r="O27" s="69">
        <v>0</v>
      </c>
      <c r="P27" s="70">
        <f t="shared" si="2"/>
        <v>0</v>
      </c>
      <c r="Q27" s="70">
        <f t="shared" si="3"/>
        <v>0</v>
      </c>
      <c r="R27" s="71" t="str">
        <f t="shared" si="4"/>
        <v>-</v>
      </c>
      <c r="S27" s="67">
        <v>22</v>
      </c>
      <c r="T27" s="68">
        <v>18</v>
      </c>
      <c r="U27" s="69">
        <v>11</v>
      </c>
      <c r="V27" s="69">
        <v>8</v>
      </c>
      <c r="W27" s="70">
        <f t="shared" si="5"/>
        <v>33</v>
      </c>
      <c r="X27" s="70">
        <f t="shared" si="6"/>
        <v>26</v>
      </c>
      <c r="Y27" s="71">
        <f t="shared" si="7"/>
        <v>0.78787878787878785</v>
      </c>
      <c r="Z27" s="67">
        <v>0</v>
      </c>
      <c r="AA27" s="68">
        <v>0</v>
      </c>
      <c r="AB27" s="69">
        <v>0</v>
      </c>
      <c r="AC27" s="69">
        <v>0</v>
      </c>
      <c r="AD27" s="70">
        <f t="shared" si="8"/>
        <v>0</v>
      </c>
      <c r="AE27" s="70">
        <f t="shared" si="9"/>
        <v>0</v>
      </c>
      <c r="AF27" s="71" t="str">
        <f t="shared" si="10"/>
        <v>-</v>
      </c>
      <c r="AG27" s="67">
        <v>10</v>
      </c>
      <c r="AH27" s="68">
        <v>8</v>
      </c>
      <c r="AI27" s="69">
        <v>45</v>
      </c>
      <c r="AJ27" s="69">
        <v>31</v>
      </c>
      <c r="AK27" s="70">
        <f t="shared" si="11"/>
        <v>55</v>
      </c>
      <c r="AL27" s="70">
        <f t="shared" si="12"/>
        <v>39</v>
      </c>
      <c r="AM27" s="71">
        <f t="shared" si="13"/>
        <v>0.70909090909090911</v>
      </c>
      <c r="AN27" s="67">
        <v>4</v>
      </c>
      <c r="AO27" s="68">
        <v>3</v>
      </c>
      <c r="AP27" s="69">
        <v>50</v>
      </c>
      <c r="AQ27" s="69">
        <v>38</v>
      </c>
      <c r="AR27" s="70">
        <f t="shared" si="14"/>
        <v>54</v>
      </c>
      <c r="AS27" s="70">
        <f t="shared" si="15"/>
        <v>41</v>
      </c>
      <c r="AT27" s="71">
        <f t="shared" si="16"/>
        <v>0.7592592592592593</v>
      </c>
      <c r="AU27" s="67">
        <v>0</v>
      </c>
      <c r="AV27" s="68">
        <v>0</v>
      </c>
      <c r="AW27" s="69">
        <v>0</v>
      </c>
      <c r="AX27" s="69">
        <v>0</v>
      </c>
      <c r="AY27" s="70">
        <f t="shared" si="17"/>
        <v>0</v>
      </c>
      <c r="AZ27" s="70">
        <f t="shared" si="18"/>
        <v>0</v>
      </c>
      <c r="BA27" s="71" t="str">
        <f t="shared" si="19"/>
        <v>-</v>
      </c>
      <c r="BB27" s="67">
        <v>26</v>
      </c>
      <c r="BC27" s="68">
        <v>25</v>
      </c>
      <c r="BD27" s="69">
        <v>23</v>
      </c>
      <c r="BE27" s="69">
        <v>18</v>
      </c>
      <c r="BF27" s="70">
        <f t="shared" si="20"/>
        <v>49</v>
      </c>
      <c r="BG27" s="70">
        <f t="shared" si="21"/>
        <v>43</v>
      </c>
      <c r="BH27" s="71">
        <f t="shared" si="22"/>
        <v>0.87755102040816324</v>
      </c>
      <c r="BI27" s="67">
        <v>0</v>
      </c>
      <c r="BJ27" s="68">
        <v>0</v>
      </c>
      <c r="BK27" s="69">
        <v>0</v>
      </c>
      <c r="BL27" s="69">
        <v>0</v>
      </c>
      <c r="BM27" s="70">
        <f t="shared" si="23"/>
        <v>0</v>
      </c>
      <c r="BN27" s="70">
        <f t="shared" si="24"/>
        <v>0</v>
      </c>
      <c r="BO27" s="71" t="str">
        <f t="shared" si="25"/>
        <v>-</v>
      </c>
      <c r="BP27" s="67">
        <v>0</v>
      </c>
      <c r="BQ27" s="68">
        <v>0</v>
      </c>
      <c r="BR27" s="69">
        <v>0</v>
      </c>
      <c r="BS27" s="69">
        <v>0</v>
      </c>
      <c r="BT27" s="70">
        <f t="shared" si="26"/>
        <v>0</v>
      </c>
      <c r="BU27" s="70">
        <f t="shared" si="27"/>
        <v>0</v>
      </c>
      <c r="BV27" s="71" t="str">
        <f t="shared" si="28"/>
        <v>-</v>
      </c>
      <c r="BW27" s="67">
        <f t="shared" si="40"/>
        <v>62</v>
      </c>
      <c r="BX27" s="68">
        <f t="shared" si="41"/>
        <v>54</v>
      </c>
      <c r="BY27" s="72">
        <f t="shared" si="42"/>
        <v>0.87096774193548387</v>
      </c>
      <c r="BZ27" s="73">
        <f t="shared" si="43"/>
        <v>129</v>
      </c>
      <c r="CA27" s="69">
        <f t="shared" si="44"/>
        <v>95</v>
      </c>
      <c r="CB27" s="74">
        <f t="shared" si="45"/>
        <v>0.73643410852713176</v>
      </c>
      <c r="CC27" s="75">
        <f t="shared" si="46"/>
        <v>191</v>
      </c>
      <c r="CD27" s="76">
        <f t="shared" si="47"/>
        <v>149</v>
      </c>
      <c r="CE27" s="84">
        <f t="shared" si="48"/>
        <v>0.78010471204188481</v>
      </c>
      <c r="CF27" s="77">
        <v>0</v>
      </c>
      <c r="CG27" s="78">
        <v>0</v>
      </c>
      <c r="CH27" s="79" t="str">
        <f t="shared" si="65"/>
        <v>-</v>
      </c>
      <c r="CI27" s="80">
        <v>0</v>
      </c>
      <c r="CJ27" s="80">
        <v>0</v>
      </c>
      <c r="CK27" s="81" t="str">
        <f t="shared" si="66"/>
        <v>-</v>
      </c>
      <c r="CL27" s="78">
        <v>0</v>
      </c>
      <c r="CM27" s="78">
        <v>0</v>
      </c>
      <c r="CN27" s="79" t="str">
        <f t="shared" si="67"/>
        <v>-</v>
      </c>
      <c r="CO27" s="80">
        <v>0</v>
      </c>
      <c r="CP27" s="80">
        <v>0</v>
      </c>
      <c r="CQ27" s="82" t="str">
        <f t="shared" si="68"/>
        <v>-</v>
      </c>
    </row>
    <row r="28" spans="1:95" s="17" customFormat="1" ht="21" customHeight="1" x14ac:dyDescent="0.2">
      <c r="A28" s="103">
        <v>22</v>
      </c>
      <c r="B28" s="104" t="s">
        <v>44</v>
      </c>
      <c r="C28" s="65" t="s">
        <v>15</v>
      </c>
      <c r="D28" s="66" t="s">
        <v>16</v>
      </c>
      <c r="E28" s="67">
        <v>0</v>
      </c>
      <c r="F28" s="68">
        <v>0</v>
      </c>
      <c r="G28" s="69">
        <v>0</v>
      </c>
      <c r="H28" s="69">
        <v>0</v>
      </c>
      <c r="I28" s="70">
        <f t="shared" si="37"/>
        <v>0</v>
      </c>
      <c r="J28" s="70">
        <f t="shared" si="38"/>
        <v>0</v>
      </c>
      <c r="K28" s="71" t="str">
        <f t="shared" si="39"/>
        <v>-</v>
      </c>
      <c r="L28" s="67">
        <v>0</v>
      </c>
      <c r="M28" s="68">
        <v>0</v>
      </c>
      <c r="N28" s="69">
        <v>0</v>
      </c>
      <c r="O28" s="69">
        <v>0</v>
      </c>
      <c r="P28" s="70">
        <f t="shared" si="2"/>
        <v>0</v>
      </c>
      <c r="Q28" s="70">
        <f t="shared" si="3"/>
        <v>0</v>
      </c>
      <c r="R28" s="71" t="str">
        <f t="shared" si="4"/>
        <v>-</v>
      </c>
      <c r="S28" s="67">
        <v>22</v>
      </c>
      <c r="T28" s="68">
        <v>15</v>
      </c>
      <c r="U28" s="69">
        <v>25</v>
      </c>
      <c r="V28" s="69">
        <v>25</v>
      </c>
      <c r="W28" s="70">
        <f t="shared" si="5"/>
        <v>47</v>
      </c>
      <c r="X28" s="70">
        <f t="shared" si="6"/>
        <v>40</v>
      </c>
      <c r="Y28" s="71">
        <f t="shared" si="7"/>
        <v>0.85106382978723405</v>
      </c>
      <c r="Z28" s="67">
        <v>0</v>
      </c>
      <c r="AA28" s="68">
        <v>0</v>
      </c>
      <c r="AB28" s="69">
        <v>0</v>
      </c>
      <c r="AC28" s="69">
        <v>0</v>
      </c>
      <c r="AD28" s="70">
        <f t="shared" si="8"/>
        <v>0</v>
      </c>
      <c r="AE28" s="70">
        <f t="shared" si="9"/>
        <v>0</v>
      </c>
      <c r="AF28" s="71" t="str">
        <f t="shared" si="10"/>
        <v>-</v>
      </c>
      <c r="AG28" s="67">
        <v>33</v>
      </c>
      <c r="AH28" s="68">
        <v>25</v>
      </c>
      <c r="AI28" s="69">
        <v>56</v>
      </c>
      <c r="AJ28" s="69">
        <v>47</v>
      </c>
      <c r="AK28" s="70">
        <f t="shared" si="11"/>
        <v>89</v>
      </c>
      <c r="AL28" s="70">
        <f t="shared" si="12"/>
        <v>72</v>
      </c>
      <c r="AM28" s="71">
        <f t="shared" si="13"/>
        <v>0.8089887640449438</v>
      </c>
      <c r="AN28" s="67">
        <v>23</v>
      </c>
      <c r="AO28" s="68">
        <v>17</v>
      </c>
      <c r="AP28" s="69">
        <v>84</v>
      </c>
      <c r="AQ28" s="69">
        <v>77</v>
      </c>
      <c r="AR28" s="70">
        <f t="shared" si="14"/>
        <v>107</v>
      </c>
      <c r="AS28" s="70">
        <f t="shared" si="15"/>
        <v>94</v>
      </c>
      <c r="AT28" s="71">
        <f t="shared" si="16"/>
        <v>0.87850467289719625</v>
      </c>
      <c r="AU28" s="67">
        <v>104</v>
      </c>
      <c r="AV28" s="68">
        <v>93</v>
      </c>
      <c r="AW28" s="69">
        <v>1</v>
      </c>
      <c r="AX28" s="69">
        <v>1</v>
      </c>
      <c r="AY28" s="70">
        <f t="shared" si="17"/>
        <v>105</v>
      </c>
      <c r="AZ28" s="70">
        <f t="shared" si="18"/>
        <v>94</v>
      </c>
      <c r="BA28" s="71">
        <f t="shared" si="19"/>
        <v>0.89523809523809528</v>
      </c>
      <c r="BB28" s="67">
        <v>0</v>
      </c>
      <c r="BC28" s="68">
        <v>0</v>
      </c>
      <c r="BD28" s="69">
        <v>0</v>
      </c>
      <c r="BE28" s="69">
        <v>0</v>
      </c>
      <c r="BF28" s="70">
        <f t="shared" si="20"/>
        <v>0</v>
      </c>
      <c r="BG28" s="70">
        <f t="shared" si="21"/>
        <v>0</v>
      </c>
      <c r="BH28" s="71" t="str">
        <f t="shared" si="22"/>
        <v>-</v>
      </c>
      <c r="BI28" s="67">
        <v>0</v>
      </c>
      <c r="BJ28" s="68">
        <v>0</v>
      </c>
      <c r="BK28" s="69">
        <v>0</v>
      </c>
      <c r="BL28" s="69">
        <v>0</v>
      </c>
      <c r="BM28" s="70">
        <f t="shared" si="23"/>
        <v>0</v>
      </c>
      <c r="BN28" s="70">
        <f t="shared" si="24"/>
        <v>0</v>
      </c>
      <c r="BO28" s="71" t="str">
        <f t="shared" si="25"/>
        <v>-</v>
      </c>
      <c r="BP28" s="67">
        <v>26</v>
      </c>
      <c r="BQ28" s="68">
        <v>22</v>
      </c>
      <c r="BR28" s="69">
        <v>23</v>
      </c>
      <c r="BS28" s="69">
        <v>22</v>
      </c>
      <c r="BT28" s="70">
        <f t="shared" si="26"/>
        <v>49</v>
      </c>
      <c r="BU28" s="70">
        <f t="shared" si="27"/>
        <v>44</v>
      </c>
      <c r="BV28" s="71">
        <f t="shared" si="28"/>
        <v>0.89795918367346939</v>
      </c>
      <c r="BW28" s="67">
        <f t="shared" si="40"/>
        <v>208</v>
      </c>
      <c r="BX28" s="68">
        <f t="shared" si="41"/>
        <v>172</v>
      </c>
      <c r="BY28" s="72">
        <f t="shared" si="42"/>
        <v>0.82692307692307687</v>
      </c>
      <c r="BZ28" s="73">
        <f t="shared" si="43"/>
        <v>189</v>
      </c>
      <c r="CA28" s="69">
        <f t="shared" si="44"/>
        <v>172</v>
      </c>
      <c r="CB28" s="74">
        <f t="shared" si="45"/>
        <v>0.91005291005291</v>
      </c>
      <c r="CC28" s="75">
        <f t="shared" si="46"/>
        <v>397</v>
      </c>
      <c r="CD28" s="76">
        <f t="shared" si="47"/>
        <v>344</v>
      </c>
      <c r="CE28" s="84">
        <f t="shared" si="48"/>
        <v>0.86649874055415621</v>
      </c>
      <c r="CF28" s="77">
        <v>0</v>
      </c>
      <c r="CG28" s="78">
        <v>0</v>
      </c>
      <c r="CH28" s="79" t="str">
        <f t="shared" ref="CH28:CH36" si="69">IFERROR(CG28/CF28,"-")</f>
        <v>-</v>
      </c>
      <c r="CI28" s="80">
        <v>0</v>
      </c>
      <c r="CJ28" s="80">
        <v>0</v>
      </c>
      <c r="CK28" s="81" t="str">
        <f t="shared" ref="CK28" si="70">IFERROR(CJ28/CI28,"-")</f>
        <v>-</v>
      </c>
      <c r="CL28" s="78">
        <v>0</v>
      </c>
      <c r="CM28" s="78">
        <v>0</v>
      </c>
      <c r="CN28" s="79" t="str">
        <f t="shared" ref="CN28:CN36" si="71">IFERROR(CM28/CL28,"-")</f>
        <v>-</v>
      </c>
      <c r="CO28" s="80">
        <v>0</v>
      </c>
      <c r="CP28" s="80">
        <v>0</v>
      </c>
      <c r="CQ28" s="82" t="str">
        <f t="shared" ref="CQ28:CQ36" si="72">IFERROR(CP28/CO28,"-")</f>
        <v>-</v>
      </c>
    </row>
    <row r="29" spans="1:95" s="17" customFormat="1" ht="21" customHeight="1" x14ac:dyDescent="0.2">
      <c r="A29" s="103">
        <v>23</v>
      </c>
      <c r="B29" s="104" t="s">
        <v>53</v>
      </c>
      <c r="C29" s="65" t="s">
        <v>15</v>
      </c>
      <c r="D29" s="66" t="s">
        <v>16</v>
      </c>
      <c r="E29" s="67">
        <v>43</v>
      </c>
      <c r="F29" s="68">
        <v>39</v>
      </c>
      <c r="G29" s="69">
        <v>0</v>
      </c>
      <c r="H29" s="69">
        <v>0</v>
      </c>
      <c r="I29" s="70">
        <f t="shared" si="37"/>
        <v>43</v>
      </c>
      <c r="J29" s="70">
        <f t="shared" si="38"/>
        <v>39</v>
      </c>
      <c r="K29" s="71">
        <f t="shared" si="39"/>
        <v>0.90697674418604646</v>
      </c>
      <c r="L29" s="67">
        <v>101</v>
      </c>
      <c r="M29" s="68">
        <v>93</v>
      </c>
      <c r="N29" s="69">
        <v>0</v>
      </c>
      <c r="O29" s="69">
        <v>0</v>
      </c>
      <c r="P29" s="70">
        <f t="shared" si="2"/>
        <v>101</v>
      </c>
      <c r="Q29" s="70">
        <f t="shared" si="3"/>
        <v>93</v>
      </c>
      <c r="R29" s="71">
        <f t="shared" si="4"/>
        <v>0.92079207920792083</v>
      </c>
      <c r="S29" s="67">
        <v>0</v>
      </c>
      <c r="T29" s="68">
        <v>0</v>
      </c>
      <c r="U29" s="69">
        <v>0</v>
      </c>
      <c r="V29" s="69">
        <v>0</v>
      </c>
      <c r="W29" s="70">
        <f t="shared" si="5"/>
        <v>0</v>
      </c>
      <c r="X29" s="70">
        <f t="shared" si="6"/>
        <v>0</v>
      </c>
      <c r="Y29" s="71" t="str">
        <f t="shared" si="7"/>
        <v>-</v>
      </c>
      <c r="Z29" s="67">
        <v>0</v>
      </c>
      <c r="AA29" s="68">
        <v>0</v>
      </c>
      <c r="AB29" s="69">
        <v>0</v>
      </c>
      <c r="AC29" s="69">
        <v>0</v>
      </c>
      <c r="AD29" s="70">
        <f t="shared" si="8"/>
        <v>0</v>
      </c>
      <c r="AE29" s="70">
        <f t="shared" si="9"/>
        <v>0</v>
      </c>
      <c r="AF29" s="71" t="str">
        <f t="shared" si="10"/>
        <v>-</v>
      </c>
      <c r="AG29" s="67">
        <v>0</v>
      </c>
      <c r="AH29" s="68">
        <v>0</v>
      </c>
      <c r="AI29" s="69">
        <v>0</v>
      </c>
      <c r="AJ29" s="69">
        <v>0</v>
      </c>
      <c r="AK29" s="70">
        <f t="shared" si="11"/>
        <v>0</v>
      </c>
      <c r="AL29" s="70">
        <f t="shared" si="12"/>
        <v>0</v>
      </c>
      <c r="AM29" s="71" t="str">
        <f t="shared" si="13"/>
        <v>-</v>
      </c>
      <c r="AN29" s="67">
        <v>0</v>
      </c>
      <c r="AO29" s="68">
        <v>0</v>
      </c>
      <c r="AP29" s="69">
        <v>0</v>
      </c>
      <c r="AQ29" s="69">
        <v>0</v>
      </c>
      <c r="AR29" s="70">
        <f t="shared" si="14"/>
        <v>0</v>
      </c>
      <c r="AS29" s="70">
        <f t="shared" si="15"/>
        <v>0</v>
      </c>
      <c r="AT29" s="71" t="str">
        <f t="shared" si="16"/>
        <v>-</v>
      </c>
      <c r="AU29" s="67">
        <v>0</v>
      </c>
      <c r="AV29" s="68">
        <v>0</v>
      </c>
      <c r="AW29" s="69">
        <v>0</v>
      </c>
      <c r="AX29" s="69">
        <v>0</v>
      </c>
      <c r="AY29" s="70">
        <f t="shared" si="17"/>
        <v>0</v>
      </c>
      <c r="AZ29" s="70">
        <f t="shared" si="18"/>
        <v>0</v>
      </c>
      <c r="BA29" s="71" t="str">
        <f t="shared" si="19"/>
        <v>-</v>
      </c>
      <c r="BB29" s="67">
        <v>0</v>
      </c>
      <c r="BC29" s="68">
        <v>0</v>
      </c>
      <c r="BD29" s="69">
        <v>0</v>
      </c>
      <c r="BE29" s="69">
        <v>0</v>
      </c>
      <c r="BF29" s="70">
        <f t="shared" si="20"/>
        <v>0</v>
      </c>
      <c r="BG29" s="70">
        <f t="shared" si="21"/>
        <v>0</v>
      </c>
      <c r="BH29" s="71" t="str">
        <f t="shared" si="22"/>
        <v>-</v>
      </c>
      <c r="BI29" s="67">
        <v>0</v>
      </c>
      <c r="BJ29" s="68">
        <v>0</v>
      </c>
      <c r="BK29" s="69">
        <v>0</v>
      </c>
      <c r="BL29" s="69">
        <v>0</v>
      </c>
      <c r="BM29" s="70">
        <f t="shared" si="23"/>
        <v>0</v>
      </c>
      <c r="BN29" s="70">
        <f t="shared" si="24"/>
        <v>0</v>
      </c>
      <c r="BO29" s="71" t="str">
        <f t="shared" si="25"/>
        <v>-</v>
      </c>
      <c r="BP29" s="67">
        <v>0</v>
      </c>
      <c r="BQ29" s="68">
        <v>0</v>
      </c>
      <c r="BR29" s="69">
        <v>0</v>
      </c>
      <c r="BS29" s="69">
        <v>0</v>
      </c>
      <c r="BT29" s="70">
        <f t="shared" si="26"/>
        <v>0</v>
      </c>
      <c r="BU29" s="70">
        <f t="shared" si="27"/>
        <v>0</v>
      </c>
      <c r="BV29" s="71" t="str">
        <f t="shared" si="28"/>
        <v>-</v>
      </c>
      <c r="BW29" s="67">
        <f t="shared" si="40"/>
        <v>144</v>
      </c>
      <c r="BX29" s="68">
        <f t="shared" si="41"/>
        <v>132</v>
      </c>
      <c r="BY29" s="72">
        <f t="shared" si="42"/>
        <v>0.91666666666666663</v>
      </c>
      <c r="BZ29" s="73">
        <f t="shared" si="43"/>
        <v>0</v>
      </c>
      <c r="CA29" s="69">
        <f t="shared" si="44"/>
        <v>0</v>
      </c>
      <c r="CB29" s="74" t="str">
        <f t="shared" si="45"/>
        <v>-</v>
      </c>
      <c r="CC29" s="75">
        <f t="shared" si="46"/>
        <v>144</v>
      </c>
      <c r="CD29" s="76">
        <f t="shared" si="47"/>
        <v>132</v>
      </c>
      <c r="CE29" s="84">
        <f t="shared" si="48"/>
        <v>0.91666666666666663</v>
      </c>
      <c r="CF29" s="77">
        <v>31</v>
      </c>
      <c r="CG29" s="78">
        <v>0</v>
      </c>
      <c r="CH29" s="79">
        <f t="shared" si="69"/>
        <v>0</v>
      </c>
      <c r="CI29" s="80">
        <v>33</v>
      </c>
      <c r="CJ29" s="80">
        <v>0</v>
      </c>
      <c r="CK29" s="81" t="s">
        <v>31</v>
      </c>
      <c r="CL29" s="78">
        <v>16</v>
      </c>
      <c r="CM29" s="78">
        <v>0</v>
      </c>
      <c r="CN29" s="79">
        <f t="shared" si="71"/>
        <v>0</v>
      </c>
      <c r="CO29" s="80">
        <v>0</v>
      </c>
      <c r="CP29" s="80">
        <v>0</v>
      </c>
      <c r="CQ29" s="82" t="str">
        <f t="shared" si="72"/>
        <v>-</v>
      </c>
    </row>
    <row r="30" spans="1:95" s="17" customFormat="1" ht="21" customHeight="1" x14ac:dyDescent="0.2">
      <c r="A30" s="103">
        <v>24</v>
      </c>
      <c r="B30" s="104" t="s">
        <v>1</v>
      </c>
      <c r="C30" s="65" t="s">
        <v>15</v>
      </c>
      <c r="D30" s="66" t="s">
        <v>16</v>
      </c>
      <c r="E30" s="67">
        <v>0</v>
      </c>
      <c r="F30" s="68">
        <v>0</v>
      </c>
      <c r="G30" s="69">
        <v>0</v>
      </c>
      <c r="H30" s="69">
        <v>0</v>
      </c>
      <c r="I30" s="70">
        <f t="shared" si="37"/>
        <v>0</v>
      </c>
      <c r="J30" s="70">
        <f t="shared" si="38"/>
        <v>0</v>
      </c>
      <c r="K30" s="71" t="str">
        <f t="shared" si="39"/>
        <v>-</v>
      </c>
      <c r="L30" s="67">
        <v>0</v>
      </c>
      <c r="M30" s="68">
        <v>0</v>
      </c>
      <c r="N30" s="69">
        <v>0</v>
      </c>
      <c r="O30" s="69">
        <v>0</v>
      </c>
      <c r="P30" s="70">
        <f t="shared" si="2"/>
        <v>0</v>
      </c>
      <c r="Q30" s="70">
        <f t="shared" si="3"/>
        <v>0</v>
      </c>
      <c r="R30" s="71" t="str">
        <f t="shared" si="4"/>
        <v>-</v>
      </c>
      <c r="S30" s="67">
        <v>21</v>
      </c>
      <c r="T30" s="68">
        <v>19</v>
      </c>
      <c r="U30" s="69">
        <v>10</v>
      </c>
      <c r="V30" s="69">
        <v>9</v>
      </c>
      <c r="W30" s="70">
        <f t="shared" si="5"/>
        <v>31</v>
      </c>
      <c r="X30" s="70">
        <f t="shared" si="6"/>
        <v>28</v>
      </c>
      <c r="Y30" s="71">
        <f t="shared" si="7"/>
        <v>0.90322580645161288</v>
      </c>
      <c r="Z30" s="67">
        <v>0</v>
      </c>
      <c r="AA30" s="68">
        <v>0</v>
      </c>
      <c r="AB30" s="69">
        <v>0</v>
      </c>
      <c r="AC30" s="69">
        <v>0</v>
      </c>
      <c r="AD30" s="70">
        <f t="shared" si="8"/>
        <v>0</v>
      </c>
      <c r="AE30" s="70">
        <f t="shared" si="9"/>
        <v>0</v>
      </c>
      <c r="AF30" s="71" t="str">
        <f t="shared" si="10"/>
        <v>-</v>
      </c>
      <c r="AG30" s="67">
        <v>23</v>
      </c>
      <c r="AH30" s="68">
        <v>20</v>
      </c>
      <c r="AI30" s="69">
        <v>67</v>
      </c>
      <c r="AJ30" s="69">
        <v>60</v>
      </c>
      <c r="AK30" s="70">
        <f t="shared" si="11"/>
        <v>90</v>
      </c>
      <c r="AL30" s="70">
        <f t="shared" si="12"/>
        <v>80</v>
      </c>
      <c r="AM30" s="71">
        <f t="shared" si="13"/>
        <v>0.88888888888888884</v>
      </c>
      <c r="AN30" s="67">
        <v>12</v>
      </c>
      <c r="AO30" s="68">
        <v>10</v>
      </c>
      <c r="AP30" s="69">
        <v>35</v>
      </c>
      <c r="AQ30" s="69">
        <v>34</v>
      </c>
      <c r="AR30" s="70">
        <f t="shared" si="14"/>
        <v>47</v>
      </c>
      <c r="AS30" s="70">
        <f t="shared" si="15"/>
        <v>44</v>
      </c>
      <c r="AT30" s="71">
        <f t="shared" si="16"/>
        <v>0.93617021276595747</v>
      </c>
      <c r="AU30" s="67">
        <v>31</v>
      </c>
      <c r="AV30" s="68">
        <v>29</v>
      </c>
      <c r="AW30" s="69">
        <v>20</v>
      </c>
      <c r="AX30" s="69">
        <v>16</v>
      </c>
      <c r="AY30" s="70">
        <f t="shared" si="17"/>
        <v>51</v>
      </c>
      <c r="AZ30" s="70">
        <f t="shared" si="18"/>
        <v>45</v>
      </c>
      <c r="BA30" s="71">
        <f t="shared" si="19"/>
        <v>0.88235294117647056</v>
      </c>
      <c r="BB30" s="67">
        <v>0</v>
      </c>
      <c r="BC30" s="68">
        <v>0</v>
      </c>
      <c r="BD30" s="69">
        <v>0</v>
      </c>
      <c r="BE30" s="69">
        <v>0</v>
      </c>
      <c r="BF30" s="70">
        <f t="shared" si="20"/>
        <v>0</v>
      </c>
      <c r="BG30" s="70">
        <f t="shared" si="21"/>
        <v>0</v>
      </c>
      <c r="BH30" s="71" t="str">
        <f t="shared" si="22"/>
        <v>-</v>
      </c>
      <c r="BI30" s="67">
        <v>0</v>
      </c>
      <c r="BJ30" s="68">
        <v>0</v>
      </c>
      <c r="BK30" s="69">
        <v>0</v>
      </c>
      <c r="BL30" s="69">
        <v>0</v>
      </c>
      <c r="BM30" s="70">
        <f t="shared" si="23"/>
        <v>0</v>
      </c>
      <c r="BN30" s="70">
        <f t="shared" si="24"/>
        <v>0</v>
      </c>
      <c r="BO30" s="71" t="str">
        <f t="shared" si="25"/>
        <v>-</v>
      </c>
      <c r="BP30" s="67">
        <v>20</v>
      </c>
      <c r="BQ30" s="68">
        <v>19</v>
      </c>
      <c r="BR30" s="69">
        <v>20</v>
      </c>
      <c r="BS30" s="69">
        <v>16</v>
      </c>
      <c r="BT30" s="70">
        <f t="shared" si="26"/>
        <v>40</v>
      </c>
      <c r="BU30" s="70">
        <f t="shared" si="27"/>
        <v>35</v>
      </c>
      <c r="BV30" s="71">
        <f t="shared" si="28"/>
        <v>0.875</v>
      </c>
      <c r="BW30" s="67">
        <f t="shared" si="40"/>
        <v>107</v>
      </c>
      <c r="BX30" s="68">
        <f t="shared" si="41"/>
        <v>97</v>
      </c>
      <c r="BY30" s="72">
        <f t="shared" si="42"/>
        <v>0.90654205607476634</v>
      </c>
      <c r="BZ30" s="73">
        <f t="shared" si="43"/>
        <v>152</v>
      </c>
      <c r="CA30" s="69">
        <f t="shared" si="44"/>
        <v>135</v>
      </c>
      <c r="CB30" s="74">
        <f t="shared" si="45"/>
        <v>0.88815789473684215</v>
      </c>
      <c r="CC30" s="75">
        <f t="shared" si="46"/>
        <v>259</v>
      </c>
      <c r="CD30" s="76">
        <f t="shared" si="47"/>
        <v>232</v>
      </c>
      <c r="CE30" s="84">
        <f t="shared" si="48"/>
        <v>0.89575289575289574</v>
      </c>
      <c r="CF30" s="77">
        <v>0</v>
      </c>
      <c r="CG30" s="78">
        <v>0</v>
      </c>
      <c r="CH30" s="79" t="str">
        <f t="shared" si="69"/>
        <v>-</v>
      </c>
      <c r="CI30" s="80">
        <v>0</v>
      </c>
      <c r="CJ30" s="80">
        <v>0</v>
      </c>
      <c r="CK30" s="81" t="str">
        <f t="shared" ref="CK30:CK33" si="73">IFERROR(CJ30/CI30,"-")</f>
        <v>-</v>
      </c>
      <c r="CL30" s="78">
        <v>0</v>
      </c>
      <c r="CM30" s="78">
        <v>0</v>
      </c>
      <c r="CN30" s="79" t="str">
        <f t="shared" si="71"/>
        <v>-</v>
      </c>
      <c r="CO30" s="80">
        <v>0</v>
      </c>
      <c r="CP30" s="80">
        <v>0</v>
      </c>
      <c r="CQ30" s="82" t="str">
        <f t="shared" si="72"/>
        <v>-</v>
      </c>
    </row>
    <row r="31" spans="1:95" s="17" customFormat="1" ht="21" customHeight="1" x14ac:dyDescent="0.2">
      <c r="A31" s="103">
        <v>25</v>
      </c>
      <c r="B31" s="104" t="s">
        <v>54</v>
      </c>
      <c r="C31" s="65" t="s">
        <v>15</v>
      </c>
      <c r="D31" s="66" t="s">
        <v>16</v>
      </c>
      <c r="E31" s="67">
        <v>0</v>
      </c>
      <c r="F31" s="68">
        <v>0</v>
      </c>
      <c r="G31" s="69">
        <v>0</v>
      </c>
      <c r="H31" s="69">
        <v>0</v>
      </c>
      <c r="I31" s="70">
        <f t="shared" si="37"/>
        <v>0</v>
      </c>
      <c r="J31" s="70">
        <f t="shared" si="38"/>
        <v>0</v>
      </c>
      <c r="K31" s="71" t="str">
        <f t="shared" si="39"/>
        <v>-</v>
      </c>
      <c r="L31" s="67">
        <v>0</v>
      </c>
      <c r="M31" s="68">
        <v>0</v>
      </c>
      <c r="N31" s="69">
        <v>0</v>
      </c>
      <c r="O31" s="69">
        <v>0</v>
      </c>
      <c r="P31" s="70">
        <f t="shared" si="2"/>
        <v>0</v>
      </c>
      <c r="Q31" s="70">
        <f t="shared" si="3"/>
        <v>0</v>
      </c>
      <c r="R31" s="71" t="str">
        <f t="shared" si="4"/>
        <v>-</v>
      </c>
      <c r="S31" s="67">
        <v>0</v>
      </c>
      <c r="T31" s="68">
        <v>0</v>
      </c>
      <c r="U31" s="69">
        <v>0</v>
      </c>
      <c r="V31" s="69">
        <v>0</v>
      </c>
      <c r="W31" s="70">
        <f t="shared" si="5"/>
        <v>0</v>
      </c>
      <c r="X31" s="70">
        <f t="shared" si="6"/>
        <v>0</v>
      </c>
      <c r="Y31" s="71" t="str">
        <f t="shared" si="7"/>
        <v>-</v>
      </c>
      <c r="Z31" s="67">
        <v>0</v>
      </c>
      <c r="AA31" s="68">
        <v>0</v>
      </c>
      <c r="AB31" s="69">
        <v>0</v>
      </c>
      <c r="AC31" s="69">
        <v>0</v>
      </c>
      <c r="AD31" s="70">
        <f t="shared" si="8"/>
        <v>0</v>
      </c>
      <c r="AE31" s="70">
        <f t="shared" si="9"/>
        <v>0</v>
      </c>
      <c r="AF31" s="71" t="str">
        <f t="shared" si="10"/>
        <v>-</v>
      </c>
      <c r="AG31" s="67">
        <v>9</v>
      </c>
      <c r="AH31" s="68">
        <v>9</v>
      </c>
      <c r="AI31" s="69">
        <v>21</v>
      </c>
      <c r="AJ31" s="69">
        <v>18</v>
      </c>
      <c r="AK31" s="70">
        <f t="shared" si="11"/>
        <v>30</v>
      </c>
      <c r="AL31" s="70">
        <f t="shared" si="12"/>
        <v>27</v>
      </c>
      <c r="AM31" s="71">
        <f t="shared" si="13"/>
        <v>0.9</v>
      </c>
      <c r="AN31" s="67">
        <v>0</v>
      </c>
      <c r="AO31" s="68">
        <v>0</v>
      </c>
      <c r="AP31" s="69">
        <v>41</v>
      </c>
      <c r="AQ31" s="69">
        <v>31</v>
      </c>
      <c r="AR31" s="70">
        <f t="shared" si="14"/>
        <v>41</v>
      </c>
      <c r="AS31" s="70">
        <f t="shared" si="15"/>
        <v>31</v>
      </c>
      <c r="AT31" s="71">
        <f t="shared" si="16"/>
        <v>0.75609756097560976</v>
      </c>
      <c r="AU31" s="67">
        <v>0</v>
      </c>
      <c r="AV31" s="68">
        <v>0</v>
      </c>
      <c r="AW31" s="69">
        <v>0</v>
      </c>
      <c r="AX31" s="69">
        <v>0</v>
      </c>
      <c r="AY31" s="70">
        <f t="shared" si="17"/>
        <v>0</v>
      </c>
      <c r="AZ31" s="70">
        <f t="shared" si="18"/>
        <v>0</v>
      </c>
      <c r="BA31" s="71" t="str">
        <f t="shared" si="19"/>
        <v>-</v>
      </c>
      <c r="BB31" s="67">
        <v>0</v>
      </c>
      <c r="BC31" s="68">
        <v>0</v>
      </c>
      <c r="BD31" s="69">
        <v>0</v>
      </c>
      <c r="BE31" s="69">
        <v>0</v>
      </c>
      <c r="BF31" s="70">
        <f t="shared" si="20"/>
        <v>0</v>
      </c>
      <c r="BG31" s="70">
        <f t="shared" si="21"/>
        <v>0</v>
      </c>
      <c r="BH31" s="71" t="str">
        <f t="shared" si="22"/>
        <v>-</v>
      </c>
      <c r="BI31" s="67">
        <v>0</v>
      </c>
      <c r="BJ31" s="68">
        <v>0</v>
      </c>
      <c r="BK31" s="69">
        <v>0</v>
      </c>
      <c r="BL31" s="69">
        <v>0</v>
      </c>
      <c r="BM31" s="70">
        <f t="shared" si="23"/>
        <v>0</v>
      </c>
      <c r="BN31" s="70">
        <f t="shared" si="24"/>
        <v>0</v>
      </c>
      <c r="BO31" s="71" t="str">
        <f t="shared" si="25"/>
        <v>-</v>
      </c>
      <c r="BP31" s="67">
        <v>6</v>
      </c>
      <c r="BQ31" s="68">
        <v>5</v>
      </c>
      <c r="BR31" s="69">
        <v>16</v>
      </c>
      <c r="BS31" s="69">
        <v>14</v>
      </c>
      <c r="BT31" s="70">
        <f t="shared" si="26"/>
        <v>22</v>
      </c>
      <c r="BU31" s="70">
        <f t="shared" si="27"/>
        <v>19</v>
      </c>
      <c r="BV31" s="71">
        <f t="shared" si="28"/>
        <v>0.86363636363636365</v>
      </c>
      <c r="BW31" s="67">
        <f t="shared" si="40"/>
        <v>15</v>
      </c>
      <c r="BX31" s="68">
        <f t="shared" si="41"/>
        <v>14</v>
      </c>
      <c r="BY31" s="72">
        <f t="shared" si="42"/>
        <v>0.93333333333333335</v>
      </c>
      <c r="BZ31" s="73">
        <f t="shared" si="43"/>
        <v>78</v>
      </c>
      <c r="CA31" s="69">
        <f t="shared" si="44"/>
        <v>63</v>
      </c>
      <c r="CB31" s="74">
        <f t="shared" si="45"/>
        <v>0.80769230769230771</v>
      </c>
      <c r="CC31" s="75">
        <f t="shared" si="46"/>
        <v>93</v>
      </c>
      <c r="CD31" s="76">
        <f t="shared" si="47"/>
        <v>77</v>
      </c>
      <c r="CE31" s="84">
        <f t="shared" si="48"/>
        <v>0.82795698924731187</v>
      </c>
      <c r="CF31" s="77">
        <v>0</v>
      </c>
      <c r="CG31" s="78">
        <v>0</v>
      </c>
      <c r="CH31" s="79" t="str">
        <f t="shared" si="69"/>
        <v>-</v>
      </c>
      <c r="CI31" s="80">
        <v>0</v>
      </c>
      <c r="CJ31" s="80">
        <v>0</v>
      </c>
      <c r="CK31" s="81" t="str">
        <f t="shared" si="73"/>
        <v>-</v>
      </c>
      <c r="CL31" s="78">
        <v>0</v>
      </c>
      <c r="CM31" s="78">
        <v>0</v>
      </c>
      <c r="CN31" s="79" t="str">
        <f t="shared" si="71"/>
        <v>-</v>
      </c>
      <c r="CO31" s="80">
        <v>0</v>
      </c>
      <c r="CP31" s="80">
        <v>0</v>
      </c>
      <c r="CQ31" s="82" t="str">
        <f t="shared" si="72"/>
        <v>-</v>
      </c>
    </row>
    <row r="32" spans="1:95" s="17" customFormat="1" ht="21" customHeight="1" x14ac:dyDescent="0.2">
      <c r="A32" s="103">
        <v>26</v>
      </c>
      <c r="B32" s="104" t="s">
        <v>6</v>
      </c>
      <c r="C32" s="65" t="s">
        <v>15</v>
      </c>
      <c r="D32" s="66" t="s">
        <v>16</v>
      </c>
      <c r="E32" s="67">
        <v>0</v>
      </c>
      <c r="F32" s="68">
        <v>0</v>
      </c>
      <c r="G32" s="69">
        <v>0</v>
      </c>
      <c r="H32" s="69">
        <v>0</v>
      </c>
      <c r="I32" s="70">
        <f t="shared" si="37"/>
        <v>0</v>
      </c>
      <c r="J32" s="70">
        <f t="shared" si="38"/>
        <v>0</v>
      </c>
      <c r="K32" s="71" t="str">
        <f t="shared" si="39"/>
        <v>-</v>
      </c>
      <c r="L32" s="67">
        <v>0</v>
      </c>
      <c r="M32" s="68">
        <v>0</v>
      </c>
      <c r="N32" s="69">
        <v>0</v>
      </c>
      <c r="O32" s="69">
        <v>0</v>
      </c>
      <c r="P32" s="70">
        <f t="shared" si="2"/>
        <v>0</v>
      </c>
      <c r="Q32" s="70">
        <f t="shared" si="3"/>
        <v>0</v>
      </c>
      <c r="R32" s="71" t="str">
        <f t="shared" si="4"/>
        <v>-</v>
      </c>
      <c r="S32" s="67">
        <v>0</v>
      </c>
      <c r="T32" s="68">
        <v>0</v>
      </c>
      <c r="U32" s="69">
        <v>0</v>
      </c>
      <c r="V32" s="69">
        <v>0</v>
      </c>
      <c r="W32" s="70">
        <f t="shared" si="5"/>
        <v>0</v>
      </c>
      <c r="X32" s="70">
        <f t="shared" si="6"/>
        <v>0</v>
      </c>
      <c r="Y32" s="71" t="str">
        <f t="shared" si="7"/>
        <v>-</v>
      </c>
      <c r="Z32" s="67">
        <v>0</v>
      </c>
      <c r="AA32" s="68">
        <v>0</v>
      </c>
      <c r="AB32" s="69">
        <v>0</v>
      </c>
      <c r="AC32" s="69">
        <v>0</v>
      </c>
      <c r="AD32" s="70">
        <f t="shared" si="8"/>
        <v>0</v>
      </c>
      <c r="AE32" s="70">
        <f t="shared" si="9"/>
        <v>0</v>
      </c>
      <c r="AF32" s="71" t="str">
        <f t="shared" si="10"/>
        <v>-</v>
      </c>
      <c r="AG32" s="67">
        <v>6</v>
      </c>
      <c r="AH32" s="68">
        <v>4</v>
      </c>
      <c r="AI32" s="69">
        <v>22</v>
      </c>
      <c r="AJ32" s="69">
        <v>18</v>
      </c>
      <c r="AK32" s="70">
        <f t="shared" si="11"/>
        <v>28</v>
      </c>
      <c r="AL32" s="70">
        <f t="shared" si="12"/>
        <v>22</v>
      </c>
      <c r="AM32" s="71">
        <f t="shared" si="13"/>
        <v>0.7857142857142857</v>
      </c>
      <c r="AN32" s="67">
        <v>0</v>
      </c>
      <c r="AO32" s="68">
        <v>0</v>
      </c>
      <c r="AP32" s="69">
        <v>0</v>
      </c>
      <c r="AQ32" s="69">
        <v>0</v>
      </c>
      <c r="AR32" s="70">
        <f t="shared" si="14"/>
        <v>0</v>
      </c>
      <c r="AS32" s="70">
        <f t="shared" si="15"/>
        <v>0</v>
      </c>
      <c r="AT32" s="71" t="str">
        <f t="shared" si="16"/>
        <v>-</v>
      </c>
      <c r="AU32" s="67">
        <v>0</v>
      </c>
      <c r="AV32" s="68">
        <v>0</v>
      </c>
      <c r="AW32" s="69">
        <v>0</v>
      </c>
      <c r="AX32" s="69">
        <v>0</v>
      </c>
      <c r="AY32" s="70">
        <f t="shared" si="17"/>
        <v>0</v>
      </c>
      <c r="AZ32" s="70">
        <f t="shared" si="18"/>
        <v>0</v>
      </c>
      <c r="BA32" s="71" t="str">
        <f t="shared" si="19"/>
        <v>-</v>
      </c>
      <c r="BB32" s="67">
        <v>0</v>
      </c>
      <c r="BC32" s="68">
        <v>0</v>
      </c>
      <c r="BD32" s="69">
        <v>0</v>
      </c>
      <c r="BE32" s="69">
        <v>0</v>
      </c>
      <c r="BF32" s="70">
        <f t="shared" si="20"/>
        <v>0</v>
      </c>
      <c r="BG32" s="70">
        <f t="shared" si="21"/>
        <v>0</v>
      </c>
      <c r="BH32" s="71" t="str">
        <f t="shared" si="22"/>
        <v>-</v>
      </c>
      <c r="BI32" s="67">
        <v>0</v>
      </c>
      <c r="BJ32" s="68">
        <v>0</v>
      </c>
      <c r="BK32" s="69">
        <v>0</v>
      </c>
      <c r="BL32" s="69">
        <v>0</v>
      </c>
      <c r="BM32" s="70">
        <f t="shared" si="23"/>
        <v>0</v>
      </c>
      <c r="BN32" s="70">
        <f t="shared" si="24"/>
        <v>0</v>
      </c>
      <c r="BO32" s="71" t="str">
        <f t="shared" si="25"/>
        <v>-</v>
      </c>
      <c r="BP32" s="67">
        <v>10</v>
      </c>
      <c r="BQ32" s="68">
        <v>9</v>
      </c>
      <c r="BR32" s="69">
        <v>33</v>
      </c>
      <c r="BS32" s="69">
        <v>29</v>
      </c>
      <c r="BT32" s="70">
        <f t="shared" si="26"/>
        <v>43</v>
      </c>
      <c r="BU32" s="70">
        <f t="shared" si="27"/>
        <v>38</v>
      </c>
      <c r="BV32" s="71">
        <f t="shared" si="28"/>
        <v>0.88372093023255816</v>
      </c>
      <c r="BW32" s="67">
        <f t="shared" si="40"/>
        <v>16</v>
      </c>
      <c r="BX32" s="68">
        <f t="shared" si="41"/>
        <v>13</v>
      </c>
      <c r="BY32" s="72">
        <f t="shared" si="42"/>
        <v>0.8125</v>
      </c>
      <c r="BZ32" s="73">
        <f t="shared" si="43"/>
        <v>55</v>
      </c>
      <c r="CA32" s="69">
        <f t="shared" si="44"/>
        <v>47</v>
      </c>
      <c r="CB32" s="74">
        <f t="shared" si="45"/>
        <v>0.8545454545454545</v>
      </c>
      <c r="CC32" s="75">
        <f t="shared" si="46"/>
        <v>71</v>
      </c>
      <c r="CD32" s="76">
        <f t="shared" si="47"/>
        <v>60</v>
      </c>
      <c r="CE32" s="84">
        <f t="shared" si="48"/>
        <v>0.84507042253521125</v>
      </c>
      <c r="CF32" s="77">
        <v>0</v>
      </c>
      <c r="CG32" s="78">
        <v>0</v>
      </c>
      <c r="CH32" s="79" t="str">
        <f t="shared" si="69"/>
        <v>-</v>
      </c>
      <c r="CI32" s="80">
        <v>0</v>
      </c>
      <c r="CJ32" s="80">
        <v>0</v>
      </c>
      <c r="CK32" s="81" t="str">
        <f t="shared" si="73"/>
        <v>-</v>
      </c>
      <c r="CL32" s="78">
        <v>0</v>
      </c>
      <c r="CM32" s="78">
        <v>0</v>
      </c>
      <c r="CN32" s="79" t="str">
        <f t="shared" si="71"/>
        <v>-</v>
      </c>
      <c r="CO32" s="80">
        <v>0</v>
      </c>
      <c r="CP32" s="80">
        <v>0</v>
      </c>
      <c r="CQ32" s="82" t="str">
        <f t="shared" si="72"/>
        <v>-</v>
      </c>
    </row>
    <row r="33" spans="1:99" s="17" customFormat="1" ht="21" customHeight="1" x14ac:dyDescent="0.2">
      <c r="A33" s="103">
        <v>27</v>
      </c>
      <c r="B33" s="104" t="s">
        <v>3</v>
      </c>
      <c r="C33" s="65" t="s">
        <v>15</v>
      </c>
      <c r="D33" s="66" t="s">
        <v>16</v>
      </c>
      <c r="E33" s="67">
        <v>0</v>
      </c>
      <c r="F33" s="68">
        <v>0</v>
      </c>
      <c r="G33" s="69">
        <v>0</v>
      </c>
      <c r="H33" s="69">
        <v>0</v>
      </c>
      <c r="I33" s="70">
        <f t="shared" si="37"/>
        <v>0</v>
      </c>
      <c r="J33" s="70">
        <f t="shared" si="38"/>
        <v>0</v>
      </c>
      <c r="K33" s="71" t="str">
        <f t="shared" si="39"/>
        <v>-</v>
      </c>
      <c r="L33" s="67">
        <v>6</v>
      </c>
      <c r="M33" s="68">
        <v>5</v>
      </c>
      <c r="N33" s="69">
        <v>38</v>
      </c>
      <c r="O33" s="69">
        <v>35</v>
      </c>
      <c r="P33" s="70">
        <f t="shared" si="2"/>
        <v>44</v>
      </c>
      <c r="Q33" s="70">
        <f t="shared" si="3"/>
        <v>40</v>
      </c>
      <c r="R33" s="71">
        <f t="shared" si="4"/>
        <v>0.90909090909090906</v>
      </c>
      <c r="S33" s="67">
        <v>0</v>
      </c>
      <c r="T33" s="68">
        <v>0</v>
      </c>
      <c r="U33" s="69">
        <v>0</v>
      </c>
      <c r="V33" s="69">
        <v>0</v>
      </c>
      <c r="W33" s="70">
        <f t="shared" si="5"/>
        <v>0</v>
      </c>
      <c r="X33" s="70">
        <f t="shared" si="6"/>
        <v>0</v>
      </c>
      <c r="Y33" s="71" t="str">
        <f t="shared" si="7"/>
        <v>-</v>
      </c>
      <c r="Z33" s="67">
        <v>0</v>
      </c>
      <c r="AA33" s="68">
        <v>0</v>
      </c>
      <c r="AB33" s="69">
        <v>0</v>
      </c>
      <c r="AC33" s="69">
        <v>0</v>
      </c>
      <c r="AD33" s="70">
        <f t="shared" si="8"/>
        <v>0</v>
      </c>
      <c r="AE33" s="70">
        <f t="shared" si="9"/>
        <v>0</v>
      </c>
      <c r="AF33" s="71" t="str">
        <f t="shared" si="10"/>
        <v>-</v>
      </c>
      <c r="AG33" s="67">
        <v>10</v>
      </c>
      <c r="AH33" s="68">
        <v>7</v>
      </c>
      <c r="AI33" s="69">
        <v>79</v>
      </c>
      <c r="AJ33" s="69">
        <v>74</v>
      </c>
      <c r="AK33" s="70">
        <f t="shared" si="11"/>
        <v>89</v>
      </c>
      <c r="AL33" s="70">
        <f t="shared" si="12"/>
        <v>81</v>
      </c>
      <c r="AM33" s="71">
        <f t="shared" si="13"/>
        <v>0.9101123595505618</v>
      </c>
      <c r="AN33" s="67">
        <v>0</v>
      </c>
      <c r="AO33" s="68">
        <v>0</v>
      </c>
      <c r="AP33" s="69">
        <v>38</v>
      </c>
      <c r="AQ33" s="69">
        <v>32</v>
      </c>
      <c r="AR33" s="70">
        <f t="shared" si="14"/>
        <v>38</v>
      </c>
      <c r="AS33" s="70">
        <f t="shared" si="15"/>
        <v>32</v>
      </c>
      <c r="AT33" s="71">
        <f t="shared" si="16"/>
        <v>0.84210526315789469</v>
      </c>
      <c r="AU33" s="67">
        <v>10</v>
      </c>
      <c r="AV33" s="68">
        <v>7</v>
      </c>
      <c r="AW33" s="69">
        <v>67</v>
      </c>
      <c r="AX33" s="69">
        <v>62</v>
      </c>
      <c r="AY33" s="70">
        <f t="shared" si="17"/>
        <v>77</v>
      </c>
      <c r="AZ33" s="70">
        <f t="shared" si="18"/>
        <v>69</v>
      </c>
      <c r="BA33" s="71">
        <f t="shared" si="19"/>
        <v>0.89610389610389607</v>
      </c>
      <c r="BB33" s="67">
        <v>0</v>
      </c>
      <c r="BC33" s="68">
        <v>0</v>
      </c>
      <c r="BD33" s="69">
        <v>0</v>
      </c>
      <c r="BE33" s="69">
        <v>0</v>
      </c>
      <c r="BF33" s="70">
        <f t="shared" si="20"/>
        <v>0</v>
      </c>
      <c r="BG33" s="70">
        <f t="shared" si="21"/>
        <v>0</v>
      </c>
      <c r="BH33" s="71" t="str">
        <f t="shared" si="22"/>
        <v>-</v>
      </c>
      <c r="BI33" s="67">
        <v>0</v>
      </c>
      <c r="BJ33" s="68">
        <v>0</v>
      </c>
      <c r="BK33" s="69">
        <v>0</v>
      </c>
      <c r="BL33" s="69">
        <v>0</v>
      </c>
      <c r="BM33" s="70">
        <f t="shared" si="23"/>
        <v>0</v>
      </c>
      <c r="BN33" s="70">
        <f t="shared" si="24"/>
        <v>0</v>
      </c>
      <c r="BO33" s="71" t="str">
        <f t="shared" si="25"/>
        <v>-</v>
      </c>
      <c r="BP33" s="67">
        <v>12</v>
      </c>
      <c r="BQ33" s="68">
        <v>8</v>
      </c>
      <c r="BR33" s="69">
        <v>106</v>
      </c>
      <c r="BS33" s="69">
        <v>98</v>
      </c>
      <c r="BT33" s="70">
        <f t="shared" si="26"/>
        <v>118</v>
      </c>
      <c r="BU33" s="70">
        <f t="shared" si="27"/>
        <v>106</v>
      </c>
      <c r="BV33" s="71">
        <f t="shared" si="28"/>
        <v>0.89830508474576276</v>
      </c>
      <c r="BW33" s="67">
        <f t="shared" si="40"/>
        <v>38</v>
      </c>
      <c r="BX33" s="68">
        <f t="shared" si="41"/>
        <v>27</v>
      </c>
      <c r="BY33" s="72">
        <f t="shared" si="42"/>
        <v>0.71052631578947367</v>
      </c>
      <c r="BZ33" s="73">
        <f t="shared" si="43"/>
        <v>328</v>
      </c>
      <c r="CA33" s="69">
        <f t="shared" si="44"/>
        <v>301</v>
      </c>
      <c r="CB33" s="74">
        <f t="shared" si="45"/>
        <v>0.91768292682926833</v>
      </c>
      <c r="CC33" s="75">
        <f t="shared" si="46"/>
        <v>366</v>
      </c>
      <c r="CD33" s="76">
        <f t="shared" si="47"/>
        <v>328</v>
      </c>
      <c r="CE33" s="84">
        <f t="shared" si="48"/>
        <v>0.89617486338797814</v>
      </c>
      <c r="CF33" s="77">
        <v>27</v>
      </c>
      <c r="CG33" s="78">
        <v>20</v>
      </c>
      <c r="CH33" s="79">
        <f t="shared" si="69"/>
        <v>0.7407407407407407</v>
      </c>
      <c r="CI33" s="80">
        <v>35</v>
      </c>
      <c r="CJ33" s="80">
        <v>29</v>
      </c>
      <c r="CK33" s="81">
        <f t="shared" si="73"/>
        <v>0.82857142857142863</v>
      </c>
      <c r="CL33" s="78">
        <v>40</v>
      </c>
      <c r="CM33" s="78">
        <v>32</v>
      </c>
      <c r="CN33" s="79">
        <f t="shared" si="71"/>
        <v>0.8</v>
      </c>
      <c r="CO33" s="80">
        <v>33</v>
      </c>
      <c r="CP33" s="80">
        <v>0</v>
      </c>
      <c r="CQ33" s="82">
        <f t="shared" si="72"/>
        <v>0</v>
      </c>
    </row>
    <row r="34" spans="1:99" s="17" customFormat="1" ht="21" customHeight="1" x14ac:dyDescent="0.2">
      <c r="A34" s="103">
        <v>28</v>
      </c>
      <c r="B34" s="104" t="s">
        <v>33</v>
      </c>
      <c r="C34" s="65" t="s">
        <v>15</v>
      </c>
      <c r="D34" s="66" t="s">
        <v>16</v>
      </c>
      <c r="E34" s="67">
        <v>0</v>
      </c>
      <c r="F34" s="68">
        <v>0</v>
      </c>
      <c r="G34" s="69">
        <v>0</v>
      </c>
      <c r="H34" s="69">
        <v>0</v>
      </c>
      <c r="I34" s="70">
        <f t="shared" si="37"/>
        <v>0</v>
      </c>
      <c r="J34" s="70">
        <f t="shared" si="38"/>
        <v>0</v>
      </c>
      <c r="K34" s="71" t="str">
        <f t="shared" si="39"/>
        <v>-</v>
      </c>
      <c r="L34" s="67">
        <v>0</v>
      </c>
      <c r="M34" s="68">
        <v>0</v>
      </c>
      <c r="N34" s="69">
        <v>0</v>
      </c>
      <c r="O34" s="69">
        <v>0</v>
      </c>
      <c r="P34" s="70">
        <f t="shared" si="2"/>
        <v>0</v>
      </c>
      <c r="Q34" s="70">
        <f t="shared" si="3"/>
        <v>0</v>
      </c>
      <c r="R34" s="71" t="str">
        <f t="shared" si="4"/>
        <v>-</v>
      </c>
      <c r="S34" s="67">
        <v>14</v>
      </c>
      <c r="T34" s="68">
        <v>12</v>
      </c>
      <c r="U34" s="69">
        <v>25</v>
      </c>
      <c r="V34" s="69">
        <v>25</v>
      </c>
      <c r="W34" s="70">
        <f t="shared" si="5"/>
        <v>39</v>
      </c>
      <c r="X34" s="70">
        <f t="shared" si="6"/>
        <v>37</v>
      </c>
      <c r="Y34" s="71">
        <f t="shared" si="7"/>
        <v>0.94871794871794868</v>
      </c>
      <c r="Z34" s="67">
        <v>0</v>
      </c>
      <c r="AA34" s="68">
        <v>0</v>
      </c>
      <c r="AB34" s="69">
        <v>0</v>
      </c>
      <c r="AC34" s="69">
        <v>0</v>
      </c>
      <c r="AD34" s="70">
        <f t="shared" si="8"/>
        <v>0</v>
      </c>
      <c r="AE34" s="70">
        <f t="shared" si="9"/>
        <v>0</v>
      </c>
      <c r="AF34" s="71" t="str">
        <f t="shared" si="10"/>
        <v>-</v>
      </c>
      <c r="AG34" s="67">
        <v>0</v>
      </c>
      <c r="AH34" s="68">
        <v>0</v>
      </c>
      <c r="AI34" s="69">
        <v>0</v>
      </c>
      <c r="AJ34" s="69">
        <v>0</v>
      </c>
      <c r="AK34" s="70">
        <f t="shared" si="11"/>
        <v>0</v>
      </c>
      <c r="AL34" s="70">
        <f t="shared" si="12"/>
        <v>0</v>
      </c>
      <c r="AM34" s="71" t="str">
        <f t="shared" si="13"/>
        <v>-</v>
      </c>
      <c r="AN34" s="67">
        <v>0</v>
      </c>
      <c r="AO34" s="68">
        <v>0</v>
      </c>
      <c r="AP34" s="69">
        <v>56</v>
      </c>
      <c r="AQ34" s="69">
        <v>50</v>
      </c>
      <c r="AR34" s="70">
        <f t="shared" si="14"/>
        <v>56</v>
      </c>
      <c r="AS34" s="70">
        <f t="shared" si="15"/>
        <v>50</v>
      </c>
      <c r="AT34" s="71">
        <f t="shared" si="16"/>
        <v>0.8928571428571429</v>
      </c>
      <c r="AU34" s="67">
        <v>11</v>
      </c>
      <c r="AV34" s="68">
        <v>7</v>
      </c>
      <c r="AW34" s="69">
        <v>40</v>
      </c>
      <c r="AX34" s="69">
        <v>35</v>
      </c>
      <c r="AY34" s="70">
        <f t="shared" si="17"/>
        <v>51</v>
      </c>
      <c r="AZ34" s="70">
        <f t="shared" si="18"/>
        <v>42</v>
      </c>
      <c r="BA34" s="71">
        <f t="shared" si="19"/>
        <v>0.82352941176470584</v>
      </c>
      <c r="BB34" s="67">
        <v>0</v>
      </c>
      <c r="BC34" s="68">
        <v>0</v>
      </c>
      <c r="BD34" s="69">
        <v>0</v>
      </c>
      <c r="BE34" s="69">
        <v>0</v>
      </c>
      <c r="BF34" s="70">
        <f t="shared" si="20"/>
        <v>0</v>
      </c>
      <c r="BG34" s="70">
        <f t="shared" si="21"/>
        <v>0</v>
      </c>
      <c r="BH34" s="71" t="str">
        <f t="shared" si="22"/>
        <v>-</v>
      </c>
      <c r="BI34" s="67">
        <v>0</v>
      </c>
      <c r="BJ34" s="68">
        <v>0</v>
      </c>
      <c r="BK34" s="69">
        <v>59</v>
      </c>
      <c r="BL34" s="69">
        <v>51</v>
      </c>
      <c r="BM34" s="70">
        <f t="shared" si="23"/>
        <v>59</v>
      </c>
      <c r="BN34" s="70">
        <f t="shared" si="24"/>
        <v>51</v>
      </c>
      <c r="BO34" s="71">
        <f t="shared" si="25"/>
        <v>0.86440677966101698</v>
      </c>
      <c r="BP34" s="67">
        <v>0</v>
      </c>
      <c r="BQ34" s="68">
        <v>0</v>
      </c>
      <c r="BR34" s="69">
        <v>62</v>
      </c>
      <c r="BS34" s="69">
        <v>59</v>
      </c>
      <c r="BT34" s="70">
        <f t="shared" si="26"/>
        <v>62</v>
      </c>
      <c r="BU34" s="70">
        <f t="shared" si="27"/>
        <v>59</v>
      </c>
      <c r="BV34" s="71">
        <f t="shared" si="28"/>
        <v>0.95161290322580649</v>
      </c>
      <c r="BW34" s="67">
        <f t="shared" si="40"/>
        <v>25</v>
      </c>
      <c r="BX34" s="68">
        <f t="shared" si="41"/>
        <v>19</v>
      </c>
      <c r="BY34" s="72">
        <f t="shared" si="42"/>
        <v>0.76</v>
      </c>
      <c r="BZ34" s="73">
        <f t="shared" si="43"/>
        <v>242</v>
      </c>
      <c r="CA34" s="69">
        <f t="shared" si="44"/>
        <v>220</v>
      </c>
      <c r="CB34" s="74">
        <f t="shared" si="45"/>
        <v>0.90909090909090906</v>
      </c>
      <c r="CC34" s="75">
        <f t="shared" si="46"/>
        <v>267</v>
      </c>
      <c r="CD34" s="76">
        <f t="shared" si="47"/>
        <v>239</v>
      </c>
      <c r="CE34" s="84">
        <f t="shared" si="48"/>
        <v>0.89513108614232206</v>
      </c>
      <c r="CF34" s="77">
        <v>0</v>
      </c>
      <c r="CG34" s="78">
        <v>0</v>
      </c>
      <c r="CH34" s="79" t="str">
        <f t="shared" si="69"/>
        <v>-</v>
      </c>
      <c r="CI34" s="80">
        <v>0</v>
      </c>
      <c r="CJ34" s="80">
        <v>0</v>
      </c>
      <c r="CK34" s="81" t="str">
        <f t="shared" ref="CK34:CK36" si="74">IFERROR(CJ34/CI34,"-")</f>
        <v>-</v>
      </c>
      <c r="CL34" s="78">
        <v>0</v>
      </c>
      <c r="CM34" s="78">
        <v>0</v>
      </c>
      <c r="CN34" s="79" t="str">
        <f t="shared" si="71"/>
        <v>-</v>
      </c>
      <c r="CO34" s="80">
        <v>0</v>
      </c>
      <c r="CP34" s="80">
        <v>0</v>
      </c>
      <c r="CQ34" s="82" t="str">
        <f t="shared" si="72"/>
        <v>-</v>
      </c>
    </row>
    <row r="35" spans="1:99" s="17" customFormat="1" ht="21" customHeight="1" x14ac:dyDescent="0.2">
      <c r="A35" s="103">
        <v>29</v>
      </c>
      <c r="B35" s="104" t="s">
        <v>55</v>
      </c>
      <c r="C35" s="65" t="s">
        <v>15</v>
      </c>
      <c r="D35" s="66" t="s">
        <v>16</v>
      </c>
      <c r="E35" s="67">
        <v>0</v>
      </c>
      <c r="F35" s="68">
        <v>0</v>
      </c>
      <c r="G35" s="69">
        <v>0</v>
      </c>
      <c r="H35" s="69">
        <v>0</v>
      </c>
      <c r="I35" s="70">
        <f t="shared" si="37"/>
        <v>0</v>
      </c>
      <c r="J35" s="70">
        <f t="shared" si="38"/>
        <v>0</v>
      </c>
      <c r="K35" s="71" t="str">
        <f t="shared" si="39"/>
        <v>-</v>
      </c>
      <c r="L35" s="67">
        <v>0</v>
      </c>
      <c r="M35" s="68">
        <v>0</v>
      </c>
      <c r="N35" s="69">
        <v>0</v>
      </c>
      <c r="O35" s="69">
        <v>0</v>
      </c>
      <c r="P35" s="70">
        <f t="shared" si="2"/>
        <v>0</v>
      </c>
      <c r="Q35" s="70">
        <f t="shared" si="3"/>
        <v>0</v>
      </c>
      <c r="R35" s="71" t="str">
        <f t="shared" si="4"/>
        <v>-</v>
      </c>
      <c r="S35" s="67">
        <v>0</v>
      </c>
      <c r="T35" s="68">
        <v>0</v>
      </c>
      <c r="U35" s="69">
        <v>14</v>
      </c>
      <c r="V35" s="69">
        <v>14</v>
      </c>
      <c r="W35" s="70">
        <f t="shared" si="5"/>
        <v>14</v>
      </c>
      <c r="X35" s="70">
        <f t="shared" si="6"/>
        <v>14</v>
      </c>
      <c r="Y35" s="71">
        <f t="shared" si="7"/>
        <v>1</v>
      </c>
      <c r="Z35" s="67">
        <v>0</v>
      </c>
      <c r="AA35" s="68">
        <v>0</v>
      </c>
      <c r="AB35" s="69">
        <v>0</v>
      </c>
      <c r="AC35" s="69">
        <v>0</v>
      </c>
      <c r="AD35" s="70">
        <f t="shared" si="8"/>
        <v>0</v>
      </c>
      <c r="AE35" s="70">
        <f t="shared" si="9"/>
        <v>0</v>
      </c>
      <c r="AF35" s="71" t="str">
        <f t="shared" si="10"/>
        <v>-</v>
      </c>
      <c r="AG35" s="67">
        <v>0</v>
      </c>
      <c r="AH35" s="68">
        <v>0</v>
      </c>
      <c r="AI35" s="69">
        <v>0</v>
      </c>
      <c r="AJ35" s="69">
        <v>0</v>
      </c>
      <c r="AK35" s="70">
        <f t="shared" si="11"/>
        <v>0</v>
      </c>
      <c r="AL35" s="70">
        <f t="shared" si="12"/>
        <v>0</v>
      </c>
      <c r="AM35" s="71" t="str">
        <f t="shared" si="13"/>
        <v>-</v>
      </c>
      <c r="AN35" s="67">
        <v>0</v>
      </c>
      <c r="AO35" s="68">
        <v>0</v>
      </c>
      <c r="AP35" s="69">
        <v>61</v>
      </c>
      <c r="AQ35" s="69">
        <v>44</v>
      </c>
      <c r="AR35" s="70">
        <f t="shared" si="14"/>
        <v>61</v>
      </c>
      <c r="AS35" s="70">
        <f t="shared" si="15"/>
        <v>44</v>
      </c>
      <c r="AT35" s="71">
        <f t="shared" si="16"/>
        <v>0.72131147540983609</v>
      </c>
      <c r="AU35" s="67">
        <v>0</v>
      </c>
      <c r="AV35" s="68">
        <v>0</v>
      </c>
      <c r="AW35" s="69">
        <v>0</v>
      </c>
      <c r="AX35" s="69">
        <v>0</v>
      </c>
      <c r="AY35" s="70">
        <f t="shared" si="17"/>
        <v>0</v>
      </c>
      <c r="AZ35" s="70">
        <f t="shared" si="18"/>
        <v>0</v>
      </c>
      <c r="BA35" s="71" t="str">
        <f t="shared" si="19"/>
        <v>-</v>
      </c>
      <c r="BB35" s="67">
        <v>0</v>
      </c>
      <c r="BC35" s="68">
        <v>0</v>
      </c>
      <c r="BD35" s="69">
        <v>35</v>
      </c>
      <c r="BE35" s="69">
        <v>33</v>
      </c>
      <c r="BF35" s="70">
        <f t="shared" si="20"/>
        <v>35</v>
      </c>
      <c r="BG35" s="70">
        <f t="shared" si="21"/>
        <v>33</v>
      </c>
      <c r="BH35" s="71">
        <f t="shared" si="22"/>
        <v>0.94285714285714284</v>
      </c>
      <c r="BI35" s="67">
        <v>0</v>
      </c>
      <c r="BJ35" s="68">
        <v>0</v>
      </c>
      <c r="BK35" s="69">
        <v>60</v>
      </c>
      <c r="BL35" s="69">
        <v>43</v>
      </c>
      <c r="BM35" s="70">
        <f t="shared" si="23"/>
        <v>60</v>
      </c>
      <c r="BN35" s="70">
        <f t="shared" si="24"/>
        <v>43</v>
      </c>
      <c r="BO35" s="71">
        <f t="shared" si="25"/>
        <v>0.71666666666666667</v>
      </c>
      <c r="BP35" s="67">
        <v>0</v>
      </c>
      <c r="BQ35" s="68">
        <v>0</v>
      </c>
      <c r="BR35" s="69">
        <v>0</v>
      </c>
      <c r="BS35" s="69">
        <v>0</v>
      </c>
      <c r="BT35" s="70">
        <f t="shared" si="26"/>
        <v>0</v>
      </c>
      <c r="BU35" s="70">
        <f t="shared" si="27"/>
        <v>0</v>
      </c>
      <c r="BV35" s="71" t="str">
        <f t="shared" si="28"/>
        <v>-</v>
      </c>
      <c r="BW35" s="67">
        <f t="shared" si="40"/>
        <v>0</v>
      </c>
      <c r="BX35" s="68">
        <f t="shared" si="41"/>
        <v>0</v>
      </c>
      <c r="BY35" s="72" t="str">
        <f t="shared" si="42"/>
        <v>-</v>
      </c>
      <c r="BZ35" s="73">
        <f t="shared" si="43"/>
        <v>170</v>
      </c>
      <c r="CA35" s="69">
        <f t="shared" si="44"/>
        <v>134</v>
      </c>
      <c r="CB35" s="74">
        <f t="shared" si="45"/>
        <v>0.78823529411764703</v>
      </c>
      <c r="CC35" s="75">
        <f t="shared" si="46"/>
        <v>170</v>
      </c>
      <c r="CD35" s="76">
        <f t="shared" si="47"/>
        <v>134</v>
      </c>
      <c r="CE35" s="84">
        <f t="shared" si="48"/>
        <v>0.78823529411764703</v>
      </c>
      <c r="CF35" s="77">
        <v>0</v>
      </c>
      <c r="CG35" s="78">
        <v>0</v>
      </c>
      <c r="CH35" s="79" t="str">
        <f t="shared" si="69"/>
        <v>-</v>
      </c>
      <c r="CI35" s="80">
        <v>0</v>
      </c>
      <c r="CJ35" s="80">
        <v>0</v>
      </c>
      <c r="CK35" s="81" t="str">
        <f t="shared" si="74"/>
        <v>-</v>
      </c>
      <c r="CL35" s="78">
        <v>0</v>
      </c>
      <c r="CM35" s="78">
        <v>0</v>
      </c>
      <c r="CN35" s="79" t="str">
        <f t="shared" si="71"/>
        <v>-</v>
      </c>
      <c r="CO35" s="80">
        <v>0</v>
      </c>
      <c r="CP35" s="80">
        <v>0</v>
      </c>
      <c r="CQ35" s="82" t="str">
        <f t="shared" si="72"/>
        <v>-</v>
      </c>
    </row>
    <row r="36" spans="1:99" s="17" customFormat="1" ht="21" customHeight="1" x14ac:dyDescent="0.2">
      <c r="A36" s="103">
        <v>30</v>
      </c>
      <c r="B36" s="104" t="s">
        <v>74</v>
      </c>
      <c r="C36" s="65" t="s">
        <v>15</v>
      </c>
      <c r="D36" s="66" t="s">
        <v>16</v>
      </c>
      <c r="E36" s="67">
        <v>0</v>
      </c>
      <c r="F36" s="68">
        <v>0</v>
      </c>
      <c r="G36" s="69">
        <v>0</v>
      </c>
      <c r="H36" s="69">
        <v>0</v>
      </c>
      <c r="I36" s="70">
        <f t="shared" si="37"/>
        <v>0</v>
      </c>
      <c r="J36" s="70">
        <f t="shared" si="38"/>
        <v>0</v>
      </c>
      <c r="K36" s="71" t="str">
        <f t="shared" si="39"/>
        <v>-</v>
      </c>
      <c r="L36" s="67">
        <v>0</v>
      </c>
      <c r="M36" s="68">
        <v>0</v>
      </c>
      <c r="N36" s="69">
        <v>0</v>
      </c>
      <c r="O36" s="69">
        <v>0</v>
      </c>
      <c r="P36" s="70">
        <f t="shared" si="2"/>
        <v>0</v>
      </c>
      <c r="Q36" s="70">
        <f t="shared" si="3"/>
        <v>0</v>
      </c>
      <c r="R36" s="71" t="str">
        <f t="shared" si="4"/>
        <v>-</v>
      </c>
      <c r="S36" s="67">
        <v>0</v>
      </c>
      <c r="T36" s="68">
        <v>0</v>
      </c>
      <c r="U36" s="69">
        <v>0</v>
      </c>
      <c r="V36" s="69">
        <v>0</v>
      </c>
      <c r="W36" s="70">
        <f t="shared" si="5"/>
        <v>0</v>
      </c>
      <c r="X36" s="70">
        <f t="shared" si="6"/>
        <v>0</v>
      </c>
      <c r="Y36" s="71" t="str">
        <f t="shared" si="7"/>
        <v>-</v>
      </c>
      <c r="Z36" s="67">
        <v>0</v>
      </c>
      <c r="AA36" s="68">
        <v>0</v>
      </c>
      <c r="AB36" s="69">
        <v>0</v>
      </c>
      <c r="AC36" s="69">
        <v>0</v>
      </c>
      <c r="AD36" s="70">
        <f t="shared" si="8"/>
        <v>0</v>
      </c>
      <c r="AE36" s="70">
        <f t="shared" si="9"/>
        <v>0</v>
      </c>
      <c r="AF36" s="71" t="str">
        <f t="shared" si="10"/>
        <v>-</v>
      </c>
      <c r="AG36" s="67">
        <v>0</v>
      </c>
      <c r="AH36" s="68">
        <v>0</v>
      </c>
      <c r="AI36" s="69">
        <v>28</v>
      </c>
      <c r="AJ36" s="69">
        <v>26</v>
      </c>
      <c r="AK36" s="70">
        <f t="shared" si="11"/>
        <v>28</v>
      </c>
      <c r="AL36" s="70">
        <f t="shared" si="12"/>
        <v>26</v>
      </c>
      <c r="AM36" s="71">
        <f t="shared" si="13"/>
        <v>0.9285714285714286</v>
      </c>
      <c r="AN36" s="67">
        <v>0</v>
      </c>
      <c r="AO36" s="68">
        <v>0</v>
      </c>
      <c r="AP36" s="69">
        <v>53</v>
      </c>
      <c r="AQ36" s="69">
        <v>40</v>
      </c>
      <c r="AR36" s="70">
        <f t="shared" si="14"/>
        <v>53</v>
      </c>
      <c r="AS36" s="70">
        <f t="shared" si="15"/>
        <v>40</v>
      </c>
      <c r="AT36" s="71">
        <f t="shared" si="16"/>
        <v>0.75471698113207553</v>
      </c>
      <c r="AU36" s="67">
        <v>0</v>
      </c>
      <c r="AV36" s="68">
        <v>0</v>
      </c>
      <c r="AW36" s="69">
        <v>0</v>
      </c>
      <c r="AX36" s="69">
        <v>0</v>
      </c>
      <c r="AY36" s="70">
        <f t="shared" si="17"/>
        <v>0</v>
      </c>
      <c r="AZ36" s="70">
        <f t="shared" si="18"/>
        <v>0</v>
      </c>
      <c r="BA36" s="71" t="str">
        <f t="shared" si="19"/>
        <v>-</v>
      </c>
      <c r="BB36" s="67">
        <v>0</v>
      </c>
      <c r="BC36" s="68">
        <v>0</v>
      </c>
      <c r="BD36" s="69">
        <v>56</v>
      </c>
      <c r="BE36" s="69">
        <v>52</v>
      </c>
      <c r="BF36" s="70">
        <f t="shared" si="20"/>
        <v>56</v>
      </c>
      <c r="BG36" s="70">
        <f t="shared" si="21"/>
        <v>52</v>
      </c>
      <c r="BH36" s="71">
        <f t="shared" si="22"/>
        <v>0.9285714285714286</v>
      </c>
      <c r="BI36" s="67">
        <v>0</v>
      </c>
      <c r="BJ36" s="68">
        <v>0</v>
      </c>
      <c r="BK36" s="69">
        <v>0</v>
      </c>
      <c r="BL36" s="69">
        <v>0</v>
      </c>
      <c r="BM36" s="70">
        <f t="shared" si="23"/>
        <v>0</v>
      </c>
      <c r="BN36" s="70">
        <f t="shared" si="24"/>
        <v>0</v>
      </c>
      <c r="BO36" s="71" t="str">
        <f t="shared" si="25"/>
        <v>-</v>
      </c>
      <c r="BP36" s="67">
        <v>0</v>
      </c>
      <c r="BQ36" s="68">
        <v>0</v>
      </c>
      <c r="BR36" s="69">
        <v>0</v>
      </c>
      <c r="BS36" s="69">
        <v>0</v>
      </c>
      <c r="BT36" s="70">
        <f t="shared" si="26"/>
        <v>0</v>
      </c>
      <c r="BU36" s="70">
        <f t="shared" si="27"/>
        <v>0</v>
      </c>
      <c r="BV36" s="71" t="str">
        <f t="shared" si="28"/>
        <v>-</v>
      </c>
      <c r="BW36" s="67">
        <f t="shared" si="40"/>
        <v>0</v>
      </c>
      <c r="BX36" s="68">
        <f t="shared" si="41"/>
        <v>0</v>
      </c>
      <c r="BY36" s="72" t="str">
        <f t="shared" si="42"/>
        <v>-</v>
      </c>
      <c r="BZ36" s="73">
        <f t="shared" si="43"/>
        <v>137</v>
      </c>
      <c r="CA36" s="69">
        <f t="shared" si="44"/>
        <v>118</v>
      </c>
      <c r="CB36" s="74">
        <f t="shared" si="45"/>
        <v>0.86131386861313863</v>
      </c>
      <c r="CC36" s="75">
        <f t="shared" si="46"/>
        <v>137</v>
      </c>
      <c r="CD36" s="76">
        <f t="shared" si="47"/>
        <v>118</v>
      </c>
      <c r="CE36" s="84">
        <f t="shared" si="48"/>
        <v>0.86131386861313863</v>
      </c>
      <c r="CF36" s="77">
        <v>0</v>
      </c>
      <c r="CG36" s="78">
        <v>0</v>
      </c>
      <c r="CH36" s="79" t="str">
        <f t="shared" si="69"/>
        <v>-</v>
      </c>
      <c r="CI36" s="80">
        <v>0</v>
      </c>
      <c r="CJ36" s="80">
        <v>0</v>
      </c>
      <c r="CK36" s="81" t="str">
        <f t="shared" si="74"/>
        <v>-</v>
      </c>
      <c r="CL36" s="78">
        <v>0</v>
      </c>
      <c r="CM36" s="78">
        <v>0</v>
      </c>
      <c r="CN36" s="79" t="str">
        <f t="shared" si="71"/>
        <v>-</v>
      </c>
      <c r="CO36" s="80">
        <v>0</v>
      </c>
      <c r="CP36" s="80">
        <v>0</v>
      </c>
      <c r="CQ36" s="82" t="str">
        <f t="shared" si="72"/>
        <v>-</v>
      </c>
    </row>
    <row r="37" spans="1:99" s="17" customFormat="1" ht="21" customHeight="1" x14ac:dyDescent="0.2">
      <c r="A37" s="103">
        <v>31</v>
      </c>
      <c r="B37" s="104" t="s">
        <v>69</v>
      </c>
      <c r="C37" s="65" t="s">
        <v>15</v>
      </c>
      <c r="D37" s="66" t="s">
        <v>16</v>
      </c>
      <c r="E37" s="67">
        <v>0</v>
      </c>
      <c r="F37" s="68">
        <v>0</v>
      </c>
      <c r="G37" s="69">
        <v>0</v>
      </c>
      <c r="H37" s="69">
        <v>0</v>
      </c>
      <c r="I37" s="70">
        <f t="shared" si="37"/>
        <v>0</v>
      </c>
      <c r="J37" s="70">
        <f t="shared" si="38"/>
        <v>0</v>
      </c>
      <c r="K37" s="71" t="str">
        <f t="shared" si="39"/>
        <v>-</v>
      </c>
      <c r="L37" s="67">
        <v>0</v>
      </c>
      <c r="M37" s="68">
        <v>0</v>
      </c>
      <c r="N37" s="69">
        <v>0</v>
      </c>
      <c r="O37" s="69">
        <v>0</v>
      </c>
      <c r="P37" s="70">
        <f t="shared" si="2"/>
        <v>0</v>
      </c>
      <c r="Q37" s="70">
        <f t="shared" si="3"/>
        <v>0</v>
      </c>
      <c r="R37" s="71" t="str">
        <f t="shared" si="4"/>
        <v>-</v>
      </c>
      <c r="S37" s="67">
        <v>16</v>
      </c>
      <c r="T37" s="68">
        <v>15</v>
      </c>
      <c r="U37" s="69">
        <v>29</v>
      </c>
      <c r="V37" s="69">
        <v>28</v>
      </c>
      <c r="W37" s="70">
        <f t="shared" si="5"/>
        <v>45</v>
      </c>
      <c r="X37" s="70">
        <f t="shared" si="6"/>
        <v>43</v>
      </c>
      <c r="Y37" s="71">
        <f t="shared" si="7"/>
        <v>0.9555555555555556</v>
      </c>
      <c r="Z37" s="67">
        <v>0</v>
      </c>
      <c r="AA37" s="68">
        <v>0</v>
      </c>
      <c r="AB37" s="69">
        <v>0</v>
      </c>
      <c r="AC37" s="69">
        <v>0</v>
      </c>
      <c r="AD37" s="70">
        <f t="shared" si="8"/>
        <v>0</v>
      </c>
      <c r="AE37" s="70">
        <f t="shared" si="9"/>
        <v>0</v>
      </c>
      <c r="AF37" s="71" t="str">
        <f t="shared" si="10"/>
        <v>-</v>
      </c>
      <c r="AG37" s="67">
        <v>0</v>
      </c>
      <c r="AH37" s="68">
        <v>0</v>
      </c>
      <c r="AI37" s="69">
        <v>0</v>
      </c>
      <c r="AJ37" s="69">
        <v>0</v>
      </c>
      <c r="AK37" s="70">
        <f t="shared" si="11"/>
        <v>0</v>
      </c>
      <c r="AL37" s="70">
        <f t="shared" si="12"/>
        <v>0</v>
      </c>
      <c r="AM37" s="71" t="str">
        <f t="shared" si="13"/>
        <v>-</v>
      </c>
      <c r="AN37" s="67">
        <v>0</v>
      </c>
      <c r="AO37" s="68">
        <v>0</v>
      </c>
      <c r="AP37" s="69">
        <v>63</v>
      </c>
      <c r="AQ37" s="69">
        <v>61</v>
      </c>
      <c r="AR37" s="70">
        <f t="shared" si="14"/>
        <v>63</v>
      </c>
      <c r="AS37" s="70">
        <f t="shared" si="15"/>
        <v>61</v>
      </c>
      <c r="AT37" s="71">
        <f t="shared" si="16"/>
        <v>0.96825396825396826</v>
      </c>
      <c r="AU37" s="67">
        <v>0</v>
      </c>
      <c r="AV37" s="68">
        <v>0</v>
      </c>
      <c r="AW37" s="69">
        <v>0</v>
      </c>
      <c r="AX37" s="69">
        <v>0</v>
      </c>
      <c r="AY37" s="70">
        <f t="shared" si="17"/>
        <v>0</v>
      </c>
      <c r="AZ37" s="70">
        <f t="shared" si="18"/>
        <v>0</v>
      </c>
      <c r="BA37" s="71" t="str">
        <f t="shared" si="19"/>
        <v>-</v>
      </c>
      <c r="BB37" s="67">
        <v>23</v>
      </c>
      <c r="BC37" s="68">
        <v>21</v>
      </c>
      <c r="BD37" s="69">
        <v>18</v>
      </c>
      <c r="BE37" s="69">
        <v>18</v>
      </c>
      <c r="BF37" s="70">
        <f t="shared" si="20"/>
        <v>41</v>
      </c>
      <c r="BG37" s="70">
        <f t="shared" si="21"/>
        <v>39</v>
      </c>
      <c r="BH37" s="71">
        <f t="shared" si="22"/>
        <v>0.95121951219512191</v>
      </c>
      <c r="BI37" s="67">
        <v>2</v>
      </c>
      <c r="BJ37" s="68">
        <v>2</v>
      </c>
      <c r="BK37" s="69">
        <v>39</v>
      </c>
      <c r="BL37" s="69">
        <v>31</v>
      </c>
      <c r="BM37" s="70">
        <f t="shared" si="23"/>
        <v>41</v>
      </c>
      <c r="BN37" s="70">
        <f t="shared" si="24"/>
        <v>33</v>
      </c>
      <c r="BO37" s="71">
        <f t="shared" si="25"/>
        <v>0.80487804878048785</v>
      </c>
      <c r="BP37" s="67">
        <v>7</v>
      </c>
      <c r="BQ37" s="68">
        <v>7</v>
      </c>
      <c r="BR37" s="69">
        <v>20</v>
      </c>
      <c r="BS37" s="69">
        <v>18</v>
      </c>
      <c r="BT37" s="70">
        <f t="shared" si="26"/>
        <v>27</v>
      </c>
      <c r="BU37" s="70">
        <f t="shared" si="27"/>
        <v>25</v>
      </c>
      <c r="BV37" s="71">
        <f t="shared" si="28"/>
        <v>0.92592592592592593</v>
      </c>
      <c r="BW37" s="67">
        <f t="shared" si="40"/>
        <v>48</v>
      </c>
      <c r="BX37" s="68">
        <f t="shared" si="41"/>
        <v>45</v>
      </c>
      <c r="BY37" s="72">
        <f t="shared" si="42"/>
        <v>0.9375</v>
      </c>
      <c r="BZ37" s="73">
        <f t="shared" si="43"/>
        <v>169</v>
      </c>
      <c r="CA37" s="69">
        <f t="shared" si="44"/>
        <v>156</v>
      </c>
      <c r="CB37" s="74">
        <f t="shared" si="45"/>
        <v>0.92307692307692313</v>
      </c>
      <c r="CC37" s="75">
        <f t="shared" si="46"/>
        <v>217</v>
      </c>
      <c r="CD37" s="76">
        <f t="shared" si="47"/>
        <v>201</v>
      </c>
      <c r="CE37" s="84">
        <f t="shared" si="48"/>
        <v>0.92626728110599077</v>
      </c>
      <c r="CF37" s="77">
        <v>0</v>
      </c>
      <c r="CG37" s="78">
        <v>0</v>
      </c>
      <c r="CH37" s="79" t="str">
        <f t="shared" ref="CH37" si="75">IFERROR(CG37/CF37,"-")</f>
        <v>-</v>
      </c>
      <c r="CI37" s="80">
        <v>0</v>
      </c>
      <c r="CJ37" s="80">
        <v>0</v>
      </c>
      <c r="CK37" s="81" t="str">
        <f t="shared" ref="CK37" si="76">IFERROR(CJ37/CI37,"-")</f>
        <v>-</v>
      </c>
      <c r="CL37" s="78">
        <v>0</v>
      </c>
      <c r="CM37" s="78">
        <v>0</v>
      </c>
      <c r="CN37" s="79" t="str">
        <f t="shared" ref="CN37" si="77">IFERROR(CM37/CL37,"-")</f>
        <v>-</v>
      </c>
      <c r="CO37" s="80">
        <v>0</v>
      </c>
      <c r="CP37" s="80">
        <v>0</v>
      </c>
      <c r="CQ37" s="82" t="str">
        <f t="shared" ref="CQ37" si="78">IFERROR(CP37/CO37,"-")</f>
        <v>-</v>
      </c>
    </row>
    <row r="38" spans="1:99" s="17" customFormat="1" ht="21" customHeight="1" x14ac:dyDescent="0.2">
      <c r="A38" s="103">
        <v>32</v>
      </c>
      <c r="B38" s="104" t="s">
        <v>40</v>
      </c>
      <c r="C38" s="65" t="s">
        <v>15</v>
      </c>
      <c r="D38" s="66" t="s">
        <v>16</v>
      </c>
      <c r="E38" s="67">
        <v>0</v>
      </c>
      <c r="F38" s="68">
        <v>0</v>
      </c>
      <c r="G38" s="69">
        <v>0</v>
      </c>
      <c r="H38" s="69">
        <v>0</v>
      </c>
      <c r="I38" s="70">
        <f t="shared" si="37"/>
        <v>0</v>
      </c>
      <c r="J38" s="70">
        <f t="shared" si="38"/>
        <v>0</v>
      </c>
      <c r="K38" s="71" t="str">
        <f t="shared" si="39"/>
        <v>-</v>
      </c>
      <c r="L38" s="67">
        <v>0</v>
      </c>
      <c r="M38" s="68">
        <v>0</v>
      </c>
      <c r="N38" s="69">
        <v>0</v>
      </c>
      <c r="O38" s="69">
        <v>0</v>
      </c>
      <c r="P38" s="70">
        <f t="shared" si="2"/>
        <v>0</v>
      </c>
      <c r="Q38" s="70">
        <f t="shared" si="3"/>
        <v>0</v>
      </c>
      <c r="R38" s="71" t="str">
        <f t="shared" si="4"/>
        <v>-</v>
      </c>
      <c r="S38" s="67">
        <v>0</v>
      </c>
      <c r="T38" s="68">
        <v>0</v>
      </c>
      <c r="U38" s="69">
        <v>0</v>
      </c>
      <c r="V38" s="69">
        <v>0</v>
      </c>
      <c r="W38" s="70">
        <f t="shared" si="5"/>
        <v>0</v>
      </c>
      <c r="X38" s="70">
        <f t="shared" si="6"/>
        <v>0</v>
      </c>
      <c r="Y38" s="71" t="str">
        <f t="shared" si="7"/>
        <v>-</v>
      </c>
      <c r="Z38" s="67">
        <v>0</v>
      </c>
      <c r="AA38" s="68">
        <v>0</v>
      </c>
      <c r="AB38" s="69">
        <v>0</v>
      </c>
      <c r="AC38" s="69">
        <v>0</v>
      </c>
      <c r="AD38" s="70">
        <f t="shared" si="8"/>
        <v>0</v>
      </c>
      <c r="AE38" s="70">
        <f t="shared" si="9"/>
        <v>0</v>
      </c>
      <c r="AF38" s="71" t="str">
        <f t="shared" si="10"/>
        <v>-</v>
      </c>
      <c r="AG38" s="67">
        <v>0</v>
      </c>
      <c r="AH38" s="68">
        <v>0</v>
      </c>
      <c r="AI38" s="69">
        <v>0</v>
      </c>
      <c r="AJ38" s="69">
        <v>0</v>
      </c>
      <c r="AK38" s="70">
        <f t="shared" si="11"/>
        <v>0</v>
      </c>
      <c r="AL38" s="70">
        <f t="shared" si="12"/>
        <v>0</v>
      </c>
      <c r="AM38" s="71" t="str">
        <f t="shared" si="13"/>
        <v>-</v>
      </c>
      <c r="AN38" s="67">
        <v>0</v>
      </c>
      <c r="AO38" s="68">
        <v>0</v>
      </c>
      <c r="AP38" s="69">
        <v>0</v>
      </c>
      <c r="AQ38" s="69">
        <v>0</v>
      </c>
      <c r="AR38" s="70">
        <f t="shared" si="14"/>
        <v>0</v>
      </c>
      <c r="AS38" s="70">
        <f t="shared" si="15"/>
        <v>0</v>
      </c>
      <c r="AT38" s="71" t="str">
        <f t="shared" si="16"/>
        <v>-</v>
      </c>
      <c r="AU38" s="67">
        <v>0</v>
      </c>
      <c r="AV38" s="68">
        <v>0</v>
      </c>
      <c r="AW38" s="69">
        <v>0</v>
      </c>
      <c r="AX38" s="69">
        <v>0</v>
      </c>
      <c r="AY38" s="70">
        <f t="shared" si="17"/>
        <v>0</v>
      </c>
      <c r="AZ38" s="70">
        <f t="shared" si="18"/>
        <v>0</v>
      </c>
      <c r="BA38" s="71" t="str">
        <f t="shared" si="19"/>
        <v>-</v>
      </c>
      <c r="BB38" s="67">
        <v>0</v>
      </c>
      <c r="BC38" s="68">
        <v>0</v>
      </c>
      <c r="BD38" s="69">
        <v>0</v>
      </c>
      <c r="BE38" s="69">
        <v>0</v>
      </c>
      <c r="BF38" s="70">
        <f t="shared" si="20"/>
        <v>0</v>
      </c>
      <c r="BG38" s="70">
        <f t="shared" si="21"/>
        <v>0</v>
      </c>
      <c r="BH38" s="71" t="str">
        <f t="shared" si="22"/>
        <v>-</v>
      </c>
      <c r="BI38" s="67">
        <v>0</v>
      </c>
      <c r="BJ38" s="68">
        <v>0</v>
      </c>
      <c r="BK38" s="69">
        <v>0</v>
      </c>
      <c r="BL38" s="69">
        <v>0</v>
      </c>
      <c r="BM38" s="70">
        <f t="shared" si="23"/>
        <v>0</v>
      </c>
      <c r="BN38" s="70">
        <f t="shared" si="24"/>
        <v>0</v>
      </c>
      <c r="BO38" s="71" t="str">
        <f t="shared" si="25"/>
        <v>-</v>
      </c>
      <c r="BP38" s="67">
        <v>0</v>
      </c>
      <c r="BQ38" s="68">
        <v>0</v>
      </c>
      <c r="BR38" s="69">
        <v>0</v>
      </c>
      <c r="BS38" s="69">
        <v>0</v>
      </c>
      <c r="BT38" s="70">
        <f t="shared" si="26"/>
        <v>0</v>
      </c>
      <c r="BU38" s="70">
        <f t="shared" si="27"/>
        <v>0</v>
      </c>
      <c r="BV38" s="71" t="str">
        <f t="shared" si="28"/>
        <v>-</v>
      </c>
      <c r="BW38" s="67">
        <f t="shared" si="40"/>
        <v>0</v>
      </c>
      <c r="BX38" s="68">
        <f t="shared" si="41"/>
        <v>0</v>
      </c>
      <c r="BY38" s="72" t="str">
        <f t="shared" si="42"/>
        <v>-</v>
      </c>
      <c r="BZ38" s="73">
        <f t="shared" si="43"/>
        <v>0</v>
      </c>
      <c r="CA38" s="69">
        <f t="shared" si="44"/>
        <v>0</v>
      </c>
      <c r="CB38" s="74" t="str">
        <f t="shared" si="45"/>
        <v>-</v>
      </c>
      <c r="CC38" s="75">
        <f t="shared" si="46"/>
        <v>0</v>
      </c>
      <c r="CD38" s="76">
        <f t="shared" si="47"/>
        <v>0</v>
      </c>
      <c r="CE38" s="84" t="str">
        <f t="shared" si="48"/>
        <v>-</v>
      </c>
      <c r="CF38" s="77">
        <v>0</v>
      </c>
      <c r="CG38" s="78">
        <v>0</v>
      </c>
      <c r="CH38" s="79" t="str">
        <f t="shared" ref="CH38:CH45" si="79">IFERROR(CG38/CF38,"-")</f>
        <v>-</v>
      </c>
      <c r="CI38" s="80">
        <v>0</v>
      </c>
      <c r="CJ38" s="80">
        <v>0</v>
      </c>
      <c r="CK38" s="81" t="str">
        <f t="shared" ref="CK38:CK45" si="80">IFERROR(CJ38/CI38,"-")</f>
        <v>-</v>
      </c>
      <c r="CL38" s="78">
        <v>0</v>
      </c>
      <c r="CM38" s="78">
        <v>0</v>
      </c>
      <c r="CN38" s="79" t="str">
        <f t="shared" ref="CN38:CN45" si="81">IFERROR(CM38/CL38,"-")</f>
        <v>-</v>
      </c>
      <c r="CO38" s="80">
        <v>0</v>
      </c>
      <c r="CP38" s="80">
        <v>0</v>
      </c>
      <c r="CQ38" s="82" t="str">
        <f t="shared" ref="CQ38:CQ45" si="82">IFERROR(CP38/CO38,"-")</f>
        <v>-</v>
      </c>
    </row>
    <row r="39" spans="1:99" s="17" customFormat="1" ht="21" customHeight="1" x14ac:dyDescent="0.2">
      <c r="A39" s="103">
        <v>33</v>
      </c>
      <c r="B39" s="104" t="s">
        <v>83</v>
      </c>
      <c r="C39" s="65" t="s">
        <v>15</v>
      </c>
      <c r="D39" s="66" t="s">
        <v>16</v>
      </c>
      <c r="E39" s="67">
        <v>0</v>
      </c>
      <c r="F39" s="68">
        <v>0</v>
      </c>
      <c r="G39" s="69">
        <v>0</v>
      </c>
      <c r="H39" s="69">
        <v>0</v>
      </c>
      <c r="I39" s="70">
        <f t="shared" si="37"/>
        <v>0</v>
      </c>
      <c r="J39" s="70">
        <f t="shared" si="38"/>
        <v>0</v>
      </c>
      <c r="K39" s="71" t="str">
        <f t="shared" si="39"/>
        <v>-</v>
      </c>
      <c r="L39" s="67">
        <v>0</v>
      </c>
      <c r="M39" s="68">
        <v>0</v>
      </c>
      <c r="N39" s="69">
        <v>0</v>
      </c>
      <c r="O39" s="69">
        <v>0</v>
      </c>
      <c r="P39" s="70">
        <f t="shared" si="2"/>
        <v>0</v>
      </c>
      <c r="Q39" s="70">
        <f t="shared" si="3"/>
        <v>0</v>
      </c>
      <c r="R39" s="71" t="str">
        <f t="shared" si="4"/>
        <v>-</v>
      </c>
      <c r="S39" s="67">
        <v>0</v>
      </c>
      <c r="T39" s="68">
        <v>0</v>
      </c>
      <c r="U39" s="69">
        <v>14</v>
      </c>
      <c r="V39" s="69">
        <v>13</v>
      </c>
      <c r="W39" s="70">
        <f t="shared" si="5"/>
        <v>14</v>
      </c>
      <c r="X39" s="70">
        <f t="shared" si="6"/>
        <v>13</v>
      </c>
      <c r="Y39" s="71">
        <f t="shared" si="7"/>
        <v>0.9285714285714286</v>
      </c>
      <c r="Z39" s="67">
        <v>0</v>
      </c>
      <c r="AA39" s="68">
        <v>0</v>
      </c>
      <c r="AB39" s="69">
        <v>0</v>
      </c>
      <c r="AC39" s="69">
        <v>0</v>
      </c>
      <c r="AD39" s="70">
        <f t="shared" si="8"/>
        <v>0</v>
      </c>
      <c r="AE39" s="70">
        <f t="shared" si="9"/>
        <v>0</v>
      </c>
      <c r="AF39" s="71" t="str">
        <f t="shared" si="10"/>
        <v>-</v>
      </c>
      <c r="AG39" s="67">
        <v>0</v>
      </c>
      <c r="AH39" s="68">
        <v>0</v>
      </c>
      <c r="AI39" s="69">
        <v>43</v>
      </c>
      <c r="AJ39" s="69">
        <v>40</v>
      </c>
      <c r="AK39" s="70">
        <f t="shared" si="11"/>
        <v>43</v>
      </c>
      <c r="AL39" s="70">
        <f t="shared" si="12"/>
        <v>40</v>
      </c>
      <c r="AM39" s="71">
        <f t="shared" si="13"/>
        <v>0.93023255813953487</v>
      </c>
      <c r="AN39" s="67">
        <v>0</v>
      </c>
      <c r="AO39" s="68">
        <v>0</v>
      </c>
      <c r="AP39" s="69">
        <v>67</v>
      </c>
      <c r="AQ39" s="69">
        <v>64</v>
      </c>
      <c r="AR39" s="70">
        <f t="shared" si="14"/>
        <v>67</v>
      </c>
      <c r="AS39" s="70">
        <f t="shared" si="15"/>
        <v>64</v>
      </c>
      <c r="AT39" s="71">
        <f t="shared" si="16"/>
        <v>0.95522388059701491</v>
      </c>
      <c r="AU39" s="67">
        <v>0</v>
      </c>
      <c r="AV39" s="68">
        <v>0</v>
      </c>
      <c r="AW39" s="69">
        <v>32</v>
      </c>
      <c r="AX39" s="69">
        <v>31</v>
      </c>
      <c r="AY39" s="70">
        <f t="shared" si="17"/>
        <v>32</v>
      </c>
      <c r="AZ39" s="70">
        <f t="shared" si="18"/>
        <v>31</v>
      </c>
      <c r="BA39" s="71">
        <f t="shared" si="19"/>
        <v>0.96875</v>
      </c>
      <c r="BB39" s="67">
        <v>0</v>
      </c>
      <c r="BC39" s="68">
        <v>0</v>
      </c>
      <c r="BD39" s="69">
        <v>56</v>
      </c>
      <c r="BE39" s="69">
        <v>50</v>
      </c>
      <c r="BF39" s="70">
        <f t="shared" si="20"/>
        <v>56</v>
      </c>
      <c r="BG39" s="70">
        <f t="shared" si="21"/>
        <v>50</v>
      </c>
      <c r="BH39" s="71">
        <f t="shared" si="22"/>
        <v>0.8928571428571429</v>
      </c>
      <c r="BI39" s="67">
        <v>0</v>
      </c>
      <c r="BJ39" s="68">
        <v>0</v>
      </c>
      <c r="BK39" s="69">
        <v>49</v>
      </c>
      <c r="BL39" s="69">
        <v>44</v>
      </c>
      <c r="BM39" s="70">
        <f t="shared" si="23"/>
        <v>49</v>
      </c>
      <c r="BN39" s="70">
        <f t="shared" si="24"/>
        <v>44</v>
      </c>
      <c r="BO39" s="71">
        <f t="shared" si="25"/>
        <v>0.89795918367346939</v>
      </c>
      <c r="BP39" s="67">
        <v>0</v>
      </c>
      <c r="BQ39" s="68">
        <v>0</v>
      </c>
      <c r="BR39" s="69">
        <v>49</v>
      </c>
      <c r="BS39" s="69">
        <v>47</v>
      </c>
      <c r="BT39" s="70">
        <f t="shared" si="26"/>
        <v>49</v>
      </c>
      <c r="BU39" s="70">
        <f t="shared" si="27"/>
        <v>47</v>
      </c>
      <c r="BV39" s="71">
        <f t="shared" si="28"/>
        <v>0.95918367346938771</v>
      </c>
      <c r="BW39" s="67">
        <f t="shared" si="40"/>
        <v>0</v>
      </c>
      <c r="BX39" s="68">
        <f t="shared" si="41"/>
        <v>0</v>
      </c>
      <c r="BY39" s="72" t="str">
        <f t="shared" si="42"/>
        <v>-</v>
      </c>
      <c r="BZ39" s="73">
        <f t="shared" si="43"/>
        <v>310</v>
      </c>
      <c r="CA39" s="69">
        <f t="shared" si="44"/>
        <v>289</v>
      </c>
      <c r="CB39" s="74">
        <f t="shared" si="45"/>
        <v>0.93225806451612903</v>
      </c>
      <c r="CC39" s="75">
        <f t="shared" si="46"/>
        <v>310</v>
      </c>
      <c r="CD39" s="76">
        <f t="shared" si="47"/>
        <v>289</v>
      </c>
      <c r="CE39" s="84">
        <f t="shared" si="48"/>
        <v>0.93225806451612903</v>
      </c>
      <c r="CF39" s="77">
        <v>0</v>
      </c>
      <c r="CG39" s="78">
        <v>0</v>
      </c>
      <c r="CH39" s="79" t="str">
        <f t="shared" si="79"/>
        <v>-</v>
      </c>
      <c r="CI39" s="80">
        <v>0</v>
      </c>
      <c r="CJ39" s="80">
        <v>0</v>
      </c>
      <c r="CK39" s="81" t="str">
        <f t="shared" si="80"/>
        <v>-</v>
      </c>
      <c r="CL39" s="78">
        <v>0</v>
      </c>
      <c r="CM39" s="78">
        <v>0</v>
      </c>
      <c r="CN39" s="79" t="str">
        <f t="shared" si="81"/>
        <v>-</v>
      </c>
      <c r="CO39" s="80">
        <v>0</v>
      </c>
      <c r="CP39" s="80">
        <v>0</v>
      </c>
      <c r="CQ39" s="82" t="str">
        <f t="shared" si="82"/>
        <v>-</v>
      </c>
    </row>
    <row r="40" spans="1:99" s="17" customFormat="1" ht="21" customHeight="1" x14ac:dyDescent="0.2">
      <c r="A40" s="103">
        <v>34</v>
      </c>
      <c r="B40" s="104" t="s">
        <v>68</v>
      </c>
      <c r="C40" s="65" t="s">
        <v>17</v>
      </c>
      <c r="D40" s="66" t="s">
        <v>18</v>
      </c>
      <c r="E40" s="67">
        <v>0</v>
      </c>
      <c r="F40" s="68">
        <v>0</v>
      </c>
      <c r="G40" s="69">
        <v>0</v>
      </c>
      <c r="H40" s="69">
        <v>0</v>
      </c>
      <c r="I40" s="70">
        <f t="shared" si="37"/>
        <v>0</v>
      </c>
      <c r="J40" s="70">
        <f t="shared" si="38"/>
        <v>0</v>
      </c>
      <c r="K40" s="71" t="str">
        <f t="shared" si="39"/>
        <v>-</v>
      </c>
      <c r="L40" s="67">
        <v>0</v>
      </c>
      <c r="M40" s="68">
        <v>0</v>
      </c>
      <c r="N40" s="69">
        <v>0</v>
      </c>
      <c r="O40" s="69">
        <v>0</v>
      </c>
      <c r="P40" s="70">
        <f t="shared" si="2"/>
        <v>0</v>
      </c>
      <c r="Q40" s="70">
        <f t="shared" si="3"/>
        <v>0</v>
      </c>
      <c r="R40" s="71" t="str">
        <f t="shared" si="4"/>
        <v>-</v>
      </c>
      <c r="S40" s="67">
        <v>11</v>
      </c>
      <c r="T40" s="68">
        <v>11</v>
      </c>
      <c r="U40" s="69">
        <v>7</v>
      </c>
      <c r="V40" s="69">
        <v>5</v>
      </c>
      <c r="W40" s="70">
        <f t="shared" si="5"/>
        <v>18</v>
      </c>
      <c r="X40" s="70">
        <f t="shared" si="6"/>
        <v>16</v>
      </c>
      <c r="Y40" s="71">
        <f t="shared" si="7"/>
        <v>0.88888888888888884</v>
      </c>
      <c r="Z40" s="67">
        <v>0</v>
      </c>
      <c r="AA40" s="68">
        <v>0</v>
      </c>
      <c r="AB40" s="69">
        <v>0</v>
      </c>
      <c r="AC40" s="69">
        <v>0</v>
      </c>
      <c r="AD40" s="70">
        <f t="shared" si="8"/>
        <v>0</v>
      </c>
      <c r="AE40" s="70">
        <f t="shared" si="9"/>
        <v>0</v>
      </c>
      <c r="AF40" s="71" t="str">
        <f t="shared" si="10"/>
        <v>-</v>
      </c>
      <c r="AG40" s="67">
        <v>0</v>
      </c>
      <c r="AH40" s="68">
        <v>0</v>
      </c>
      <c r="AI40" s="69">
        <v>0</v>
      </c>
      <c r="AJ40" s="69">
        <v>0</v>
      </c>
      <c r="AK40" s="70">
        <f t="shared" si="11"/>
        <v>0</v>
      </c>
      <c r="AL40" s="70">
        <f t="shared" si="12"/>
        <v>0</v>
      </c>
      <c r="AM40" s="71" t="str">
        <f t="shared" si="13"/>
        <v>-</v>
      </c>
      <c r="AN40" s="67">
        <v>3</v>
      </c>
      <c r="AO40" s="68">
        <v>3</v>
      </c>
      <c r="AP40" s="69">
        <v>41</v>
      </c>
      <c r="AQ40" s="69">
        <v>25</v>
      </c>
      <c r="AR40" s="70">
        <f t="shared" si="14"/>
        <v>44</v>
      </c>
      <c r="AS40" s="70">
        <f t="shared" si="15"/>
        <v>28</v>
      </c>
      <c r="AT40" s="71">
        <f t="shared" si="16"/>
        <v>0.63636363636363635</v>
      </c>
      <c r="AU40" s="67">
        <v>5</v>
      </c>
      <c r="AV40" s="68">
        <v>5</v>
      </c>
      <c r="AW40" s="69">
        <v>31</v>
      </c>
      <c r="AX40" s="69">
        <v>31</v>
      </c>
      <c r="AY40" s="70">
        <f t="shared" si="17"/>
        <v>36</v>
      </c>
      <c r="AZ40" s="70">
        <f t="shared" si="18"/>
        <v>36</v>
      </c>
      <c r="BA40" s="71">
        <f t="shared" si="19"/>
        <v>1</v>
      </c>
      <c r="BB40" s="67">
        <v>7</v>
      </c>
      <c r="BC40" s="68">
        <v>7</v>
      </c>
      <c r="BD40" s="69">
        <v>56</v>
      </c>
      <c r="BE40" s="69">
        <v>52</v>
      </c>
      <c r="BF40" s="70">
        <f t="shared" si="20"/>
        <v>63</v>
      </c>
      <c r="BG40" s="70">
        <f t="shared" si="21"/>
        <v>59</v>
      </c>
      <c r="BH40" s="71">
        <f t="shared" si="22"/>
        <v>0.93650793650793651</v>
      </c>
      <c r="BI40" s="67">
        <v>0</v>
      </c>
      <c r="BJ40" s="68">
        <v>0</v>
      </c>
      <c r="BK40" s="69">
        <v>0</v>
      </c>
      <c r="BL40" s="69">
        <v>0</v>
      </c>
      <c r="BM40" s="70">
        <f t="shared" si="23"/>
        <v>0</v>
      </c>
      <c r="BN40" s="70">
        <f t="shared" si="24"/>
        <v>0</v>
      </c>
      <c r="BO40" s="71" t="str">
        <f t="shared" si="25"/>
        <v>-</v>
      </c>
      <c r="BP40" s="67">
        <v>0</v>
      </c>
      <c r="BQ40" s="68">
        <v>0</v>
      </c>
      <c r="BR40" s="69">
        <v>0</v>
      </c>
      <c r="BS40" s="69">
        <v>0</v>
      </c>
      <c r="BT40" s="70">
        <f t="shared" si="26"/>
        <v>0</v>
      </c>
      <c r="BU40" s="70">
        <f t="shared" si="27"/>
        <v>0</v>
      </c>
      <c r="BV40" s="71" t="str">
        <f t="shared" si="28"/>
        <v>-</v>
      </c>
      <c r="BW40" s="67">
        <f t="shared" si="40"/>
        <v>26</v>
      </c>
      <c r="BX40" s="68">
        <f t="shared" si="41"/>
        <v>26</v>
      </c>
      <c r="BY40" s="72">
        <f t="shared" si="42"/>
        <v>1</v>
      </c>
      <c r="BZ40" s="73">
        <f t="shared" si="43"/>
        <v>135</v>
      </c>
      <c r="CA40" s="69">
        <f t="shared" si="44"/>
        <v>113</v>
      </c>
      <c r="CB40" s="74">
        <f t="shared" si="45"/>
        <v>0.83703703703703702</v>
      </c>
      <c r="CC40" s="75">
        <f t="shared" si="46"/>
        <v>161</v>
      </c>
      <c r="CD40" s="76">
        <f t="shared" si="47"/>
        <v>139</v>
      </c>
      <c r="CE40" s="84">
        <f t="shared" si="48"/>
        <v>0.86335403726708071</v>
      </c>
      <c r="CF40" s="77">
        <v>0</v>
      </c>
      <c r="CG40" s="78">
        <v>0</v>
      </c>
      <c r="CH40" s="79" t="str">
        <f t="shared" si="79"/>
        <v>-</v>
      </c>
      <c r="CI40" s="80">
        <v>0</v>
      </c>
      <c r="CJ40" s="80">
        <v>0</v>
      </c>
      <c r="CK40" s="81" t="str">
        <f t="shared" si="80"/>
        <v>-</v>
      </c>
      <c r="CL40" s="78">
        <v>0</v>
      </c>
      <c r="CM40" s="78">
        <v>0</v>
      </c>
      <c r="CN40" s="79" t="str">
        <f t="shared" si="81"/>
        <v>-</v>
      </c>
      <c r="CO40" s="80">
        <v>0</v>
      </c>
      <c r="CP40" s="80">
        <v>0</v>
      </c>
      <c r="CQ40" s="82" t="str">
        <f t="shared" si="82"/>
        <v>-</v>
      </c>
    </row>
    <row r="41" spans="1:99" s="17" customFormat="1" ht="21" customHeight="1" x14ac:dyDescent="0.2">
      <c r="A41" s="103">
        <v>35</v>
      </c>
      <c r="B41" s="104" t="s">
        <v>67</v>
      </c>
      <c r="C41" s="65" t="s">
        <v>17</v>
      </c>
      <c r="D41" s="66" t="s">
        <v>19</v>
      </c>
      <c r="E41" s="67">
        <v>0</v>
      </c>
      <c r="F41" s="68">
        <v>0</v>
      </c>
      <c r="G41" s="69">
        <v>0</v>
      </c>
      <c r="H41" s="69">
        <v>0</v>
      </c>
      <c r="I41" s="70">
        <f t="shared" si="37"/>
        <v>0</v>
      </c>
      <c r="J41" s="70">
        <f t="shared" si="38"/>
        <v>0</v>
      </c>
      <c r="K41" s="71" t="str">
        <f t="shared" si="39"/>
        <v>-</v>
      </c>
      <c r="L41" s="67">
        <v>0</v>
      </c>
      <c r="M41" s="68">
        <v>0</v>
      </c>
      <c r="N41" s="69">
        <v>0</v>
      </c>
      <c r="O41" s="69">
        <v>0</v>
      </c>
      <c r="P41" s="70">
        <f t="shared" si="2"/>
        <v>0</v>
      </c>
      <c r="Q41" s="70">
        <f t="shared" si="3"/>
        <v>0</v>
      </c>
      <c r="R41" s="71" t="str">
        <f t="shared" si="4"/>
        <v>-</v>
      </c>
      <c r="S41" s="67">
        <v>7</v>
      </c>
      <c r="T41" s="68">
        <v>7</v>
      </c>
      <c r="U41" s="69">
        <v>10</v>
      </c>
      <c r="V41" s="69">
        <v>9</v>
      </c>
      <c r="W41" s="70">
        <f t="shared" si="5"/>
        <v>17</v>
      </c>
      <c r="X41" s="70">
        <f t="shared" si="6"/>
        <v>16</v>
      </c>
      <c r="Y41" s="71">
        <f t="shared" si="7"/>
        <v>0.94117647058823528</v>
      </c>
      <c r="Z41" s="67">
        <v>0</v>
      </c>
      <c r="AA41" s="68">
        <v>0</v>
      </c>
      <c r="AB41" s="69">
        <v>0</v>
      </c>
      <c r="AC41" s="69">
        <v>0</v>
      </c>
      <c r="AD41" s="70">
        <f t="shared" si="8"/>
        <v>0</v>
      </c>
      <c r="AE41" s="70">
        <f t="shared" si="9"/>
        <v>0</v>
      </c>
      <c r="AF41" s="71" t="str">
        <f t="shared" si="10"/>
        <v>-</v>
      </c>
      <c r="AG41" s="67">
        <v>0</v>
      </c>
      <c r="AH41" s="68">
        <v>0</v>
      </c>
      <c r="AI41" s="69">
        <v>0</v>
      </c>
      <c r="AJ41" s="69">
        <v>0</v>
      </c>
      <c r="AK41" s="70">
        <f t="shared" si="11"/>
        <v>0</v>
      </c>
      <c r="AL41" s="70">
        <f t="shared" si="12"/>
        <v>0</v>
      </c>
      <c r="AM41" s="71" t="str">
        <f t="shared" si="13"/>
        <v>-</v>
      </c>
      <c r="AN41" s="67">
        <v>4</v>
      </c>
      <c r="AO41" s="68">
        <v>4</v>
      </c>
      <c r="AP41" s="69">
        <v>60</v>
      </c>
      <c r="AQ41" s="69">
        <v>42</v>
      </c>
      <c r="AR41" s="70">
        <f t="shared" si="14"/>
        <v>64</v>
      </c>
      <c r="AS41" s="70">
        <f t="shared" si="15"/>
        <v>46</v>
      </c>
      <c r="AT41" s="71">
        <f t="shared" si="16"/>
        <v>0.71875</v>
      </c>
      <c r="AU41" s="67">
        <v>0</v>
      </c>
      <c r="AV41" s="68">
        <v>0</v>
      </c>
      <c r="AW41" s="69">
        <v>4</v>
      </c>
      <c r="AX41" s="69">
        <v>4</v>
      </c>
      <c r="AY41" s="70">
        <f t="shared" si="17"/>
        <v>4</v>
      </c>
      <c r="AZ41" s="70">
        <f t="shared" si="18"/>
        <v>4</v>
      </c>
      <c r="BA41" s="71">
        <f t="shared" si="19"/>
        <v>1</v>
      </c>
      <c r="BB41" s="67">
        <v>2</v>
      </c>
      <c r="BC41" s="68">
        <v>2</v>
      </c>
      <c r="BD41" s="69">
        <v>34</v>
      </c>
      <c r="BE41" s="69">
        <v>26</v>
      </c>
      <c r="BF41" s="70">
        <f t="shared" si="20"/>
        <v>36</v>
      </c>
      <c r="BG41" s="70">
        <f t="shared" si="21"/>
        <v>28</v>
      </c>
      <c r="BH41" s="71">
        <f t="shared" si="22"/>
        <v>0.77777777777777779</v>
      </c>
      <c r="BI41" s="67">
        <v>2</v>
      </c>
      <c r="BJ41" s="68">
        <v>2</v>
      </c>
      <c r="BK41" s="69">
        <v>27</v>
      </c>
      <c r="BL41" s="69">
        <v>25</v>
      </c>
      <c r="BM41" s="70">
        <f t="shared" si="23"/>
        <v>29</v>
      </c>
      <c r="BN41" s="70">
        <f t="shared" si="24"/>
        <v>27</v>
      </c>
      <c r="BO41" s="71">
        <f t="shared" si="25"/>
        <v>0.93103448275862066</v>
      </c>
      <c r="BP41" s="67">
        <v>0</v>
      </c>
      <c r="BQ41" s="68">
        <v>0</v>
      </c>
      <c r="BR41" s="69">
        <v>0</v>
      </c>
      <c r="BS41" s="69">
        <v>0</v>
      </c>
      <c r="BT41" s="70">
        <f t="shared" si="26"/>
        <v>0</v>
      </c>
      <c r="BU41" s="70">
        <f t="shared" si="27"/>
        <v>0</v>
      </c>
      <c r="BV41" s="71" t="str">
        <f t="shared" si="28"/>
        <v>-</v>
      </c>
      <c r="BW41" s="67">
        <f t="shared" si="40"/>
        <v>15</v>
      </c>
      <c r="BX41" s="68">
        <f t="shared" si="41"/>
        <v>15</v>
      </c>
      <c r="BY41" s="72">
        <f t="shared" si="42"/>
        <v>1</v>
      </c>
      <c r="BZ41" s="73">
        <f t="shared" si="43"/>
        <v>135</v>
      </c>
      <c r="CA41" s="69">
        <f t="shared" si="44"/>
        <v>106</v>
      </c>
      <c r="CB41" s="74">
        <f t="shared" si="45"/>
        <v>0.78518518518518521</v>
      </c>
      <c r="CC41" s="75">
        <f t="shared" si="46"/>
        <v>150</v>
      </c>
      <c r="CD41" s="76">
        <f t="shared" si="47"/>
        <v>121</v>
      </c>
      <c r="CE41" s="84">
        <f t="shared" si="48"/>
        <v>0.80666666666666664</v>
      </c>
      <c r="CF41" s="77">
        <v>0</v>
      </c>
      <c r="CG41" s="78">
        <v>0</v>
      </c>
      <c r="CH41" s="79" t="str">
        <f t="shared" si="79"/>
        <v>-</v>
      </c>
      <c r="CI41" s="80">
        <v>0</v>
      </c>
      <c r="CJ41" s="80">
        <v>0</v>
      </c>
      <c r="CK41" s="81" t="str">
        <f t="shared" si="80"/>
        <v>-</v>
      </c>
      <c r="CL41" s="78">
        <v>0</v>
      </c>
      <c r="CM41" s="78">
        <v>0</v>
      </c>
      <c r="CN41" s="79" t="str">
        <f t="shared" si="81"/>
        <v>-</v>
      </c>
      <c r="CO41" s="80">
        <v>0</v>
      </c>
      <c r="CP41" s="80">
        <v>0</v>
      </c>
      <c r="CQ41" s="82" t="str">
        <f t="shared" si="82"/>
        <v>-</v>
      </c>
    </row>
    <row r="42" spans="1:99" s="17" customFormat="1" ht="21" customHeight="1" x14ac:dyDescent="0.2">
      <c r="A42" s="103">
        <v>36</v>
      </c>
      <c r="B42" s="104" t="s">
        <v>39</v>
      </c>
      <c r="C42" s="65" t="s">
        <v>15</v>
      </c>
      <c r="D42" s="66" t="s">
        <v>16</v>
      </c>
      <c r="E42" s="67">
        <v>0</v>
      </c>
      <c r="F42" s="68">
        <v>0</v>
      </c>
      <c r="G42" s="69">
        <v>0</v>
      </c>
      <c r="H42" s="69">
        <v>0</v>
      </c>
      <c r="I42" s="70">
        <f t="shared" si="37"/>
        <v>0</v>
      </c>
      <c r="J42" s="70">
        <f t="shared" si="38"/>
        <v>0</v>
      </c>
      <c r="K42" s="71" t="str">
        <f t="shared" si="39"/>
        <v>-</v>
      </c>
      <c r="L42" s="67">
        <v>0</v>
      </c>
      <c r="M42" s="68">
        <v>0</v>
      </c>
      <c r="N42" s="69">
        <v>0</v>
      </c>
      <c r="O42" s="69">
        <v>0</v>
      </c>
      <c r="P42" s="70">
        <f t="shared" si="2"/>
        <v>0</v>
      </c>
      <c r="Q42" s="70">
        <f t="shared" si="3"/>
        <v>0</v>
      </c>
      <c r="R42" s="71" t="str">
        <f t="shared" si="4"/>
        <v>-</v>
      </c>
      <c r="S42" s="67">
        <v>0</v>
      </c>
      <c r="T42" s="68">
        <v>0</v>
      </c>
      <c r="U42" s="69">
        <v>32</v>
      </c>
      <c r="V42" s="69">
        <v>27</v>
      </c>
      <c r="W42" s="70">
        <f t="shared" si="5"/>
        <v>32</v>
      </c>
      <c r="X42" s="70">
        <f t="shared" si="6"/>
        <v>27</v>
      </c>
      <c r="Y42" s="71">
        <f t="shared" si="7"/>
        <v>0.84375</v>
      </c>
      <c r="Z42" s="67">
        <v>0</v>
      </c>
      <c r="AA42" s="68">
        <v>0</v>
      </c>
      <c r="AB42" s="69">
        <v>0</v>
      </c>
      <c r="AC42" s="69">
        <v>0</v>
      </c>
      <c r="AD42" s="70">
        <f t="shared" si="8"/>
        <v>0</v>
      </c>
      <c r="AE42" s="70">
        <f t="shared" si="9"/>
        <v>0</v>
      </c>
      <c r="AF42" s="71" t="str">
        <f t="shared" si="10"/>
        <v>-</v>
      </c>
      <c r="AG42" s="67">
        <v>0</v>
      </c>
      <c r="AH42" s="68">
        <v>0</v>
      </c>
      <c r="AI42" s="69">
        <v>0</v>
      </c>
      <c r="AJ42" s="69">
        <v>0</v>
      </c>
      <c r="AK42" s="70">
        <f t="shared" si="11"/>
        <v>0</v>
      </c>
      <c r="AL42" s="70">
        <f t="shared" si="12"/>
        <v>0</v>
      </c>
      <c r="AM42" s="71" t="str">
        <f t="shared" si="13"/>
        <v>-</v>
      </c>
      <c r="AN42" s="67">
        <v>0</v>
      </c>
      <c r="AO42" s="68">
        <v>0</v>
      </c>
      <c r="AP42" s="69">
        <v>37</v>
      </c>
      <c r="AQ42" s="69">
        <v>30</v>
      </c>
      <c r="AR42" s="70">
        <f t="shared" si="14"/>
        <v>37</v>
      </c>
      <c r="AS42" s="70">
        <f t="shared" si="15"/>
        <v>30</v>
      </c>
      <c r="AT42" s="71">
        <f t="shared" si="16"/>
        <v>0.81081081081081086</v>
      </c>
      <c r="AU42" s="67">
        <v>0</v>
      </c>
      <c r="AV42" s="68">
        <v>0</v>
      </c>
      <c r="AW42" s="69">
        <v>0</v>
      </c>
      <c r="AX42" s="69">
        <v>0</v>
      </c>
      <c r="AY42" s="70">
        <f t="shared" si="17"/>
        <v>0</v>
      </c>
      <c r="AZ42" s="70">
        <f t="shared" si="18"/>
        <v>0</v>
      </c>
      <c r="BA42" s="71" t="str">
        <f t="shared" si="19"/>
        <v>-</v>
      </c>
      <c r="BB42" s="67">
        <v>0</v>
      </c>
      <c r="BC42" s="68">
        <v>0</v>
      </c>
      <c r="BD42" s="69">
        <v>44</v>
      </c>
      <c r="BE42" s="69">
        <v>38</v>
      </c>
      <c r="BF42" s="70">
        <f t="shared" si="20"/>
        <v>44</v>
      </c>
      <c r="BG42" s="70">
        <f t="shared" si="21"/>
        <v>38</v>
      </c>
      <c r="BH42" s="71">
        <f t="shared" si="22"/>
        <v>0.86363636363636365</v>
      </c>
      <c r="BI42" s="67">
        <v>0</v>
      </c>
      <c r="BJ42" s="68">
        <v>0</v>
      </c>
      <c r="BK42" s="69">
        <v>24</v>
      </c>
      <c r="BL42" s="69">
        <v>19</v>
      </c>
      <c r="BM42" s="70">
        <f t="shared" si="23"/>
        <v>24</v>
      </c>
      <c r="BN42" s="70">
        <f t="shared" si="24"/>
        <v>19</v>
      </c>
      <c r="BO42" s="71">
        <f t="shared" si="25"/>
        <v>0.79166666666666663</v>
      </c>
      <c r="BP42" s="67">
        <v>0</v>
      </c>
      <c r="BQ42" s="68">
        <v>0</v>
      </c>
      <c r="BR42" s="69">
        <v>0</v>
      </c>
      <c r="BS42" s="69">
        <v>0</v>
      </c>
      <c r="BT42" s="70">
        <f t="shared" si="26"/>
        <v>0</v>
      </c>
      <c r="BU42" s="70">
        <f t="shared" si="27"/>
        <v>0</v>
      </c>
      <c r="BV42" s="71" t="str">
        <f t="shared" si="28"/>
        <v>-</v>
      </c>
      <c r="BW42" s="67">
        <f t="shared" si="40"/>
        <v>0</v>
      </c>
      <c r="BX42" s="68">
        <f t="shared" si="41"/>
        <v>0</v>
      </c>
      <c r="BY42" s="72" t="str">
        <f t="shared" si="42"/>
        <v>-</v>
      </c>
      <c r="BZ42" s="73">
        <f t="shared" si="43"/>
        <v>137</v>
      </c>
      <c r="CA42" s="69">
        <f t="shared" si="44"/>
        <v>114</v>
      </c>
      <c r="CB42" s="74">
        <f t="shared" si="45"/>
        <v>0.83211678832116787</v>
      </c>
      <c r="CC42" s="75">
        <f t="shared" si="46"/>
        <v>137</v>
      </c>
      <c r="CD42" s="76">
        <f t="shared" si="47"/>
        <v>114</v>
      </c>
      <c r="CE42" s="84">
        <f t="shared" si="48"/>
        <v>0.83211678832116787</v>
      </c>
      <c r="CF42" s="77">
        <v>0</v>
      </c>
      <c r="CG42" s="78">
        <v>0</v>
      </c>
      <c r="CH42" s="79" t="str">
        <f t="shared" si="79"/>
        <v>-</v>
      </c>
      <c r="CI42" s="80">
        <v>0</v>
      </c>
      <c r="CJ42" s="80">
        <v>0</v>
      </c>
      <c r="CK42" s="81" t="str">
        <f t="shared" si="80"/>
        <v>-</v>
      </c>
      <c r="CL42" s="78">
        <v>0</v>
      </c>
      <c r="CM42" s="78">
        <v>0</v>
      </c>
      <c r="CN42" s="79" t="str">
        <f t="shared" si="81"/>
        <v>-</v>
      </c>
      <c r="CO42" s="80">
        <v>0</v>
      </c>
      <c r="CP42" s="80">
        <v>0</v>
      </c>
      <c r="CQ42" s="82" t="str">
        <f t="shared" si="82"/>
        <v>-</v>
      </c>
    </row>
    <row r="43" spans="1:99" s="17" customFormat="1" ht="21" customHeight="1" x14ac:dyDescent="0.2">
      <c r="A43" s="103">
        <v>37</v>
      </c>
      <c r="B43" s="104" t="s">
        <v>70</v>
      </c>
      <c r="C43" s="65" t="s">
        <v>15</v>
      </c>
      <c r="D43" s="66" t="s">
        <v>16</v>
      </c>
      <c r="E43" s="67">
        <v>0</v>
      </c>
      <c r="F43" s="68">
        <v>0</v>
      </c>
      <c r="G43" s="69">
        <v>0</v>
      </c>
      <c r="H43" s="69">
        <v>0</v>
      </c>
      <c r="I43" s="70">
        <f t="shared" si="37"/>
        <v>0</v>
      </c>
      <c r="J43" s="70">
        <f t="shared" si="38"/>
        <v>0</v>
      </c>
      <c r="K43" s="71" t="str">
        <f t="shared" si="39"/>
        <v>-</v>
      </c>
      <c r="L43" s="67">
        <v>0</v>
      </c>
      <c r="M43" s="68">
        <v>0</v>
      </c>
      <c r="N43" s="69">
        <v>0</v>
      </c>
      <c r="O43" s="69">
        <v>0</v>
      </c>
      <c r="P43" s="70">
        <f t="shared" si="2"/>
        <v>0</v>
      </c>
      <c r="Q43" s="70">
        <f t="shared" si="3"/>
        <v>0</v>
      </c>
      <c r="R43" s="71" t="str">
        <f t="shared" si="4"/>
        <v>-</v>
      </c>
      <c r="S43" s="67">
        <v>0</v>
      </c>
      <c r="T43" s="68">
        <v>0</v>
      </c>
      <c r="U43" s="69">
        <v>0</v>
      </c>
      <c r="V43" s="69">
        <v>0</v>
      </c>
      <c r="W43" s="70">
        <f t="shared" si="5"/>
        <v>0</v>
      </c>
      <c r="X43" s="70">
        <f t="shared" si="6"/>
        <v>0</v>
      </c>
      <c r="Y43" s="71" t="str">
        <f t="shared" si="7"/>
        <v>-</v>
      </c>
      <c r="Z43" s="67">
        <v>0</v>
      </c>
      <c r="AA43" s="68">
        <v>0</v>
      </c>
      <c r="AB43" s="69">
        <v>0</v>
      </c>
      <c r="AC43" s="69">
        <v>0</v>
      </c>
      <c r="AD43" s="70">
        <f t="shared" si="8"/>
        <v>0</v>
      </c>
      <c r="AE43" s="70">
        <f t="shared" si="9"/>
        <v>0</v>
      </c>
      <c r="AF43" s="71" t="str">
        <f t="shared" si="10"/>
        <v>-</v>
      </c>
      <c r="AG43" s="67">
        <v>0</v>
      </c>
      <c r="AH43" s="68">
        <v>0</v>
      </c>
      <c r="AI43" s="69">
        <v>0</v>
      </c>
      <c r="AJ43" s="69">
        <v>0</v>
      </c>
      <c r="AK43" s="70">
        <f t="shared" si="11"/>
        <v>0</v>
      </c>
      <c r="AL43" s="70">
        <f t="shared" si="12"/>
        <v>0</v>
      </c>
      <c r="AM43" s="71" t="str">
        <f t="shared" si="13"/>
        <v>-</v>
      </c>
      <c r="AN43" s="67">
        <v>0</v>
      </c>
      <c r="AO43" s="68">
        <v>0</v>
      </c>
      <c r="AP43" s="69">
        <v>71</v>
      </c>
      <c r="AQ43" s="69">
        <v>61</v>
      </c>
      <c r="AR43" s="70">
        <f t="shared" si="14"/>
        <v>71</v>
      </c>
      <c r="AS43" s="70">
        <f t="shared" si="15"/>
        <v>61</v>
      </c>
      <c r="AT43" s="71">
        <f t="shared" si="16"/>
        <v>0.85915492957746475</v>
      </c>
      <c r="AU43" s="67">
        <v>0</v>
      </c>
      <c r="AV43" s="68">
        <v>0</v>
      </c>
      <c r="AW43" s="69">
        <v>0</v>
      </c>
      <c r="AX43" s="69">
        <v>0</v>
      </c>
      <c r="AY43" s="70">
        <f t="shared" si="17"/>
        <v>0</v>
      </c>
      <c r="AZ43" s="70">
        <f t="shared" si="18"/>
        <v>0</v>
      </c>
      <c r="BA43" s="71" t="str">
        <f t="shared" si="19"/>
        <v>-</v>
      </c>
      <c r="BB43" s="67">
        <v>0</v>
      </c>
      <c r="BC43" s="68">
        <v>0</v>
      </c>
      <c r="BD43" s="69">
        <v>46</v>
      </c>
      <c r="BE43" s="69">
        <v>40</v>
      </c>
      <c r="BF43" s="70">
        <f t="shared" si="20"/>
        <v>46</v>
      </c>
      <c r="BG43" s="70">
        <f t="shared" si="21"/>
        <v>40</v>
      </c>
      <c r="BH43" s="71">
        <f t="shared" si="22"/>
        <v>0.86956521739130432</v>
      </c>
      <c r="BI43" s="67">
        <v>0</v>
      </c>
      <c r="BJ43" s="68">
        <v>0</v>
      </c>
      <c r="BK43" s="69">
        <v>0</v>
      </c>
      <c r="BL43" s="69">
        <v>0</v>
      </c>
      <c r="BM43" s="70">
        <f t="shared" si="23"/>
        <v>0</v>
      </c>
      <c r="BN43" s="70">
        <f t="shared" si="24"/>
        <v>0</v>
      </c>
      <c r="BO43" s="71" t="str">
        <f t="shared" si="25"/>
        <v>-</v>
      </c>
      <c r="BP43" s="67">
        <v>0</v>
      </c>
      <c r="BQ43" s="68">
        <v>0</v>
      </c>
      <c r="BR43" s="69">
        <v>0</v>
      </c>
      <c r="BS43" s="69">
        <v>0</v>
      </c>
      <c r="BT43" s="70">
        <f t="shared" si="26"/>
        <v>0</v>
      </c>
      <c r="BU43" s="70">
        <f t="shared" si="27"/>
        <v>0</v>
      </c>
      <c r="BV43" s="71" t="str">
        <f t="shared" si="28"/>
        <v>-</v>
      </c>
      <c r="BW43" s="67">
        <f t="shared" si="40"/>
        <v>0</v>
      </c>
      <c r="BX43" s="68">
        <f t="shared" si="41"/>
        <v>0</v>
      </c>
      <c r="BY43" s="72" t="str">
        <f t="shared" si="42"/>
        <v>-</v>
      </c>
      <c r="BZ43" s="73">
        <f t="shared" si="43"/>
        <v>117</v>
      </c>
      <c r="CA43" s="69">
        <f t="shared" si="44"/>
        <v>101</v>
      </c>
      <c r="CB43" s="74">
        <f t="shared" si="45"/>
        <v>0.86324786324786329</v>
      </c>
      <c r="CC43" s="75">
        <f t="shared" si="46"/>
        <v>117</v>
      </c>
      <c r="CD43" s="76">
        <f t="shared" si="47"/>
        <v>101</v>
      </c>
      <c r="CE43" s="84">
        <f t="shared" si="48"/>
        <v>0.86324786324786329</v>
      </c>
      <c r="CF43" s="77">
        <v>0</v>
      </c>
      <c r="CG43" s="78">
        <v>0</v>
      </c>
      <c r="CH43" s="79" t="str">
        <f t="shared" si="79"/>
        <v>-</v>
      </c>
      <c r="CI43" s="80">
        <v>0</v>
      </c>
      <c r="CJ43" s="80">
        <v>0</v>
      </c>
      <c r="CK43" s="81" t="str">
        <f t="shared" si="80"/>
        <v>-</v>
      </c>
      <c r="CL43" s="78">
        <v>0</v>
      </c>
      <c r="CM43" s="78">
        <v>0</v>
      </c>
      <c r="CN43" s="79" t="str">
        <f t="shared" si="81"/>
        <v>-</v>
      </c>
      <c r="CO43" s="80">
        <v>0</v>
      </c>
      <c r="CP43" s="80">
        <v>0</v>
      </c>
      <c r="CQ43" s="82" t="str">
        <f t="shared" si="82"/>
        <v>-</v>
      </c>
    </row>
    <row r="44" spans="1:99" s="17" customFormat="1" ht="21" customHeight="1" x14ac:dyDescent="0.2">
      <c r="A44" s="103">
        <v>38</v>
      </c>
      <c r="B44" s="104" t="s">
        <v>73</v>
      </c>
      <c r="C44" s="65" t="s">
        <v>15</v>
      </c>
      <c r="D44" s="66" t="s">
        <v>16</v>
      </c>
      <c r="E44" s="67">
        <v>0</v>
      </c>
      <c r="F44" s="68">
        <v>0</v>
      </c>
      <c r="G44" s="69">
        <v>0</v>
      </c>
      <c r="H44" s="69">
        <v>0</v>
      </c>
      <c r="I44" s="70">
        <f t="shared" si="37"/>
        <v>0</v>
      </c>
      <c r="J44" s="70">
        <f t="shared" si="38"/>
        <v>0</v>
      </c>
      <c r="K44" s="71" t="str">
        <f t="shared" si="39"/>
        <v>-</v>
      </c>
      <c r="L44" s="67">
        <v>0</v>
      </c>
      <c r="M44" s="68">
        <v>0</v>
      </c>
      <c r="N44" s="69">
        <v>0</v>
      </c>
      <c r="O44" s="69">
        <v>0</v>
      </c>
      <c r="P44" s="70">
        <f t="shared" si="2"/>
        <v>0</v>
      </c>
      <c r="Q44" s="70">
        <f t="shared" si="3"/>
        <v>0</v>
      </c>
      <c r="R44" s="71" t="str">
        <f t="shared" si="4"/>
        <v>-</v>
      </c>
      <c r="S44" s="67">
        <v>0</v>
      </c>
      <c r="T44" s="68">
        <v>0</v>
      </c>
      <c r="U44" s="69">
        <v>0</v>
      </c>
      <c r="V44" s="69">
        <v>0</v>
      </c>
      <c r="W44" s="70">
        <f t="shared" si="5"/>
        <v>0</v>
      </c>
      <c r="X44" s="70">
        <f t="shared" si="6"/>
        <v>0</v>
      </c>
      <c r="Y44" s="71" t="str">
        <f t="shared" si="7"/>
        <v>-</v>
      </c>
      <c r="Z44" s="67">
        <v>0</v>
      </c>
      <c r="AA44" s="68">
        <v>0</v>
      </c>
      <c r="AB44" s="69">
        <v>0</v>
      </c>
      <c r="AC44" s="69">
        <v>0</v>
      </c>
      <c r="AD44" s="70">
        <f t="shared" si="8"/>
        <v>0</v>
      </c>
      <c r="AE44" s="70">
        <f t="shared" si="9"/>
        <v>0</v>
      </c>
      <c r="AF44" s="71" t="str">
        <f t="shared" si="10"/>
        <v>-</v>
      </c>
      <c r="AG44" s="67">
        <v>0</v>
      </c>
      <c r="AH44" s="68">
        <v>0</v>
      </c>
      <c r="AI44" s="69">
        <v>10</v>
      </c>
      <c r="AJ44" s="69">
        <v>10</v>
      </c>
      <c r="AK44" s="70">
        <f t="shared" si="11"/>
        <v>10</v>
      </c>
      <c r="AL44" s="70">
        <f t="shared" si="12"/>
        <v>10</v>
      </c>
      <c r="AM44" s="71">
        <f t="shared" si="13"/>
        <v>1</v>
      </c>
      <c r="AN44" s="67">
        <v>0</v>
      </c>
      <c r="AO44" s="68">
        <v>0</v>
      </c>
      <c r="AP44" s="69">
        <v>12</v>
      </c>
      <c r="AQ44" s="69">
        <v>8</v>
      </c>
      <c r="AR44" s="70">
        <f t="shared" si="14"/>
        <v>12</v>
      </c>
      <c r="AS44" s="70">
        <f t="shared" si="15"/>
        <v>8</v>
      </c>
      <c r="AT44" s="71">
        <f t="shared" si="16"/>
        <v>0.66666666666666663</v>
      </c>
      <c r="AU44" s="67">
        <v>0</v>
      </c>
      <c r="AV44" s="68">
        <v>0</v>
      </c>
      <c r="AW44" s="69">
        <v>0</v>
      </c>
      <c r="AX44" s="69">
        <v>0</v>
      </c>
      <c r="AY44" s="70">
        <f t="shared" si="17"/>
        <v>0</v>
      </c>
      <c r="AZ44" s="70">
        <f t="shared" si="18"/>
        <v>0</v>
      </c>
      <c r="BA44" s="71" t="str">
        <f t="shared" si="19"/>
        <v>-</v>
      </c>
      <c r="BB44" s="67">
        <v>0</v>
      </c>
      <c r="BC44" s="68">
        <v>0</v>
      </c>
      <c r="BD44" s="69">
        <v>0</v>
      </c>
      <c r="BE44" s="69">
        <v>0</v>
      </c>
      <c r="BF44" s="70">
        <f t="shared" si="20"/>
        <v>0</v>
      </c>
      <c r="BG44" s="70">
        <f t="shared" si="21"/>
        <v>0</v>
      </c>
      <c r="BH44" s="71" t="str">
        <f t="shared" si="22"/>
        <v>-</v>
      </c>
      <c r="BI44" s="67">
        <v>0</v>
      </c>
      <c r="BJ44" s="68">
        <v>0</v>
      </c>
      <c r="BK44" s="69">
        <v>27</v>
      </c>
      <c r="BL44" s="69">
        <v>21</v>
      </c>
      <c r="BM44" s="70">
        <f t="shared" si="23"/>
        <v>27</v>
      </c>
      <c r="BN44" s="70">
        <f t="shared" si="24"/>
        <v>21</v>
      </c>
      <c r="BO44" s="71">
        <f t="shared" si="25"/>
        <v>0.77777777777777779</v>
      </c>
      <c r="BP44" s="67">
        <v>0</v>
      </c>
      <c r="BQ44" s="68">
        <v>0</v>
      </c>
      <c r="BR44" s="69">
        <v>14</v>
      </c>
      <c r="BS44" s="69">
        <v>11</v>
      </c>
      <c r="BT44" s="70">
        <f t="shared" si="26"/>
        <v>14</v>
      </c>
      <c r="BU44" s="70">
        <f t="shared" si="27"/>
        <v>11</v>
      </c>
      <c r="BV44" s="71">
        <f t="shared" si="28"/>
        <v>0.7857142857142857</v>
      </c>
      <c r="BW44" s="67">
        <f t="shared" si="40"/>
        <v>0</v>
      </c>
      <c r="BX44" s="68">
        <f t="shared" si="41"/>
        <v>0</v>
      </c>
      <c r="BY44" s="72" t="str">
        <f t="shared" si="42"/>
        <v>-</v>
      </c>
      <c r="BZ44" s="73">
        <f t="shared" si="43"/>
        <v>63</v>
      </c>
      <c r="CA44" s="69">
        <f t="shared" si="44"/>
        <v>50</v>
      </c>
      <c r="CB44" s="74">
        <f t="shared" si="45"/>
        <v>0.79365079365079361</v>
      </c>
      <c r="CC44" s="75">
        <f t="shared" si="46"/>
        <v>63</v>
      </c>
      <c r="CD44" s="76">
        <f t="shared" si="47"/>
        <v>50</v>
      </c>
      <c r="CE44" s="84">
        <f t="shared" si="48"/>
        <v>0.79365079365079361</v>
      </c>
      <c r="CF44" s="77">
        <v>0</v>
      </c>
      <c r="CG44" s="78">
        <v>0</v>
      </c>
      <c r="CH44" s="79" t="str">
        <f t="shared" si="79"/>
        <v>-</v>
      </c>
      <c r="CI44" s="80">
        <v>0</v>
      </c>
      <c r="CJ44" s="80">
        <v>0</v>
      </c>
      <c r="CK44" s="81" t="str">
        <f t="shared" si="80"/>
        <v>-</v>
      </c>
      <c r="CL44" s="78">
        <v>0</v>
      </c>
      <c r="CM44" s="78">
        <v>0</v>
      </c>
      <c r="CN44" s="79" t="str">
        <f t="shared" si="81"/>
        <v>-</v>
      </c>
      <c r="CO44" s="80">
        <v>0</v>
      </c>
      <c r="CP44" s="80">
        <v>0</v>
      </c>
      <c r="CQ44" s="82" t="str">
        <f t="shared" si="82"/>
        <v>-</v>
      </c>
    </row>
    <row r="45" spans="1:99" s="17" customFormat="1" ht="25.5" customHeight="1" thickBot="1" x14ac:dyDescent="0.25">
      <c r="A45" s="86"/>
      <c r="B45" s="87" t="s">
        <v>0</v>
      </c>
      <c r="C45" s="88"/>
      <c r="D45" s="89"/>
      <c r="E45" s="90">
        <f>SUM(E7:E44)</f>
        <v>254</v>
      </c>
      <c r="F45" s="91">
        <f>SUM(F7:F44)</f>
        <v>227</v>
      </c>
      <c r="G45" s="92">
        <f>SUM(G7:G44)</f>
        <v>0</v>
      </c>
      <c r="H45" s="92">
        <f>SUM(H7:H44)</f>
        <v>0</v>
      </c>
      <c r="I45" s="93">
        <f>SUM(E45,G45)</f>
        <v>254</v>
      </c>
      <c r="J45" s="93">
        <f>SUM(F45,H45)</f>
        <v>227</v>
      </c>
      <c r="K45" s="94">
        <f t="shared" ref="K45" si="83">IFERROR(J45/I45,"-")</f>
        <v>0.89370078740157477</v>
      </c>
      <c r="L45" s="90">
        <f>SUM(L7:L44)</f>
        <v>534</v>
      </c>
      <c r="M45" s="91">
        <f>SUM(M7:M44)</f>
        <v>489</v>
      </c>
      <c r="N45" s="92">
        <f>SUM(N7:N44)</f>
        <v>98</v>
      </c>
      <c r="O45" s="92">
        <f>SUM(O7:O44)</f>
        <v>92</v>
      </c>
      <c r="P45" s="93">
        <f>SUM(L45,N45)</f>
        <v>632</v>
      </c>
      <c r="Q45" s="93">
        <f>SUM(M45,O45)</f>
        <v>581</v>
      </c>
      <c r="R45" s="94">
        <f t="shared" ref="R45" si="84">IFERROR(Q45/P45,"-")</f>
        <v>0.91930379746835444</v>
      </c>
      <c r="S45" s="90">
        <f>SUM(S7:S44)</f>
        <v>598</v>
      </c>
      <c r="T45" s="91">
        <f>SUM(T7:T44)</f>
        <v>519</v>
      </c>
      <c r="U45" s="92">
        <f>SUM(U7:U44)</f>
        <v>550</v>
      </c>
      <c r="V45" s="92">
        <f>SUM(V7:V44)</f>
        <v>490</v>
      </c>
      <c r="W45" s="93">
        <f>SUM(S45,U45)</f>
        <v>1148</v>
      </c>
      <c r="X45" s="93">
        <f>SUM(T45,V45)</f>
        <v>1009</v>
      </c>
      <c r="Y45" s="94">
        <f t="shared" ref="Y45" si="85">IFERROR(X45/W45,"-")</f>
        <v>0.87891986062717775</v>
      </c>
      <c r="Z45" s="90">
        <f>SUM(Z7:Z44)</f>
        <v>0</v>
      </c>
      <c r="AA45" s="91">
        <f>SUM(AA7:AA44)</f>
        <v>0</v>
      </c>
      <c r="AB45" s="92">
        <f>SUM(AB7:AB44)</f>
        <v>0</v>
      </c>
      <c r="AC45" s="92">
        <f>SUM(AC7:AC44)</f>
        <v>0</v>
      </c>
      <c r="AD45" s="93">
        <f>SUM(Z45,AB45)</f>
        <v>0</v>
      </c>
      <c r="AE45" s="93">
        <f>SUM(AA45,AC45)</f>
        <v>0</v>
      </c>
      <c r="AF45" s="94" t="str">
        <f t="shared" ref="AF45" si="86">IFERROR(AE45/AD45,"-")</f>
        <v>-</v>
      </c>
      <c r="AG45" s="90">
        <f>SUM(AG7:AG44)</f>
        <v>449</v>
      </c>
      <c r="AH45" s="91">
        <f>SUM(AH7:AH44)</f>
        <v>394</v>
      </c>
      <c r="AI45" s="92">
        <f>SUM(AI7:AI44)</f>
        <v>639</v>
      </c>
      <c r="AJ45" s="92">
        <f>SUM(AJ7:AJ44)</f>
        <v>564</v>
      </c>
      <c r="AK45" s="93">
        <f>SUM(AG45,AI45)</f>
        <v>1088</v>
      </c>
      <c r="AL45" s="93">
        <f>SUM(AH45,AJ45)</f>
        <v>958</v>
      </c>
      <c r="AM45" s="94">
        <f t="shared" ref="AM45" si="87">IFERROR(AL45/AK45,"-")</f>
        <v>0.88051470588235292</v>
      </c>
      <c r="AN45" s="90">
        <f>SUM(AN7:AN44)</f>
        <v>356</v>
      </c>
      <c r="AO45" s="91">
        <f>SUM(AO7:AO44)</f>
        <v>298</v>
      </c>
      <c r="AP45" s="92">
        <f>SUM(AP7:AP44)</f>
        <v>1800</v>
      </c>
      <c r="AQ45" s="92">
        <f>SUM(AQ7:AQ44)</f>
        <v>1527</v>
      </c>
      <c r="AR45" s="93">
        <f>SUM(AN45,AP45)</f>
        <v>2156</v>
      </c>
      <c r="AS45" s="93">
        <f>SUM(AO45,AQ45)</f>
        <v>1825</v>
      </c>
      <c r="AT45" s="94">
        <f t="shared" ref="AT45" si="88">IFERROR(AS45/AR45,"-")</f>
        <v>0.84647495361781078</v>
      </c>
      <c r="AU45" s="90">
        <f>SUM(AU7:AU44)</f>
        <v>748</v>
      </c>
      <c r="AV45" s="91">
        <f>SUM(AV7:AV44)</f>
        <v>675</v>
      </c>
      <c r="AW45" s="92">
        <f>SUM(AW7:AW44)</f>
        <v>531</v>
      </c>
      <c r="AX45" s="92">
        <f>SUM(AX7:AX44)</f>
        <v>489</v>
      </c>
      <c r="AY45" s="93">
        <f>SUM(AU45,AW45)</f>
        <v>1279</v>
      </c>
      <c r="AZ45" s="93">
        <f>SUM(AV45,AX45)</f>
        <v>1164</v>
      </c>
      <c r="BA45" s="94">
        <f t="shared" ref="BA45" si="89">IFERROR(AZ45/AY45,"-")</f>
        <v>0.91008600469116496</v>
      </c>
      <c r="BB45" s="90">
        <f>SUM(BB7:BB44)</f>
        <v>294</v>
      </c>
      <c r="BC45" s="91">
        <f>SUM(BC7:BC44)</f>
        <v>257</v>
      </c>
      <c r="BD45" s="92">
        <f>SUM(BD7:BD44)</f>
        <v>712</v>
      </c>
      <c r="BE45" s="92">
        <f>SUM(BE7:BE44)</f>
        <v>632</v>
      </c>
      <c r="BF45" s="93">
        <f>SUM(BB45,BD45)</f>
        <v>1006</v>
      </c>
      <c r="BG45" s="93">
        <f>SUM(BC45,BE45)</f>
        <v>889</v>
      </c>
      <c r="BH45" s="94">
        <f t="shared" ref="BH45" si="90">IFERROR(BG45/BF45,"-")</f>
        <v>0.88369781312127238</v>
      </c>
      <c r="BI45" s="90">
        <f>SUM(BI7:BI44)</f>
        <v>4</v>
      </c>
      <c r="BJ45" s="91">
        <f>SUM(BJ7:BJ44)</f>
        <v>4</v>
      </c>
      <c r="BK45" s="92">
        <f>SUM(BK7:BK44)</f>
        <v>285</v>
      </c>
      <c r="BL45" s="92">
        <f>SUM(BL7:BL44)</f>
        <v>234</v>
      </c>
      <c r="BM45" s="93">
        <f>SUM(BI45,BK45)</f>
        <v>289</v>
      </c>
      <c r="BN45" s="93">
        <f>SUM(BJ45,BL45)</f>
        <v>238</v>
      </c>
      <c r="BO45" s="94">
        <f t="shared" ref="BO45" si="91">IFERROR(BN45/BM45,"-")</f>
        <v>0.82352941176470584</v>
      </c>
      <c r="BP45" s="90">
        <f>SUM(BP7:BP44)</f>
        <v>242</v>
      </c>
      <c r="BQ45" s="91">
        <f>SUM(BQ7:BQ44)</f>
        <v>212</v>
      </c>
      <c r="BR45" s="92">
        <f>SUM(BR7:BR44)</f>
        <v>628</v>
      </c>
      <c r="BS45" s="92">
        <f>SUM(BS7:BS44)</f>
        <v>569</v>
      </c>
      <c r="BT45" s="70">
        <f t="shared" ref="BT45" si="92">SUM(BP45,BR45)</f>
        <v>870</v>
      </c>
      <c r="BU45" s="70">
        <f t="shared" ref="BU45" si="93">SUM(BQ45,BS45)</f>
        <v>781</v>
      </c>
      <c r="BV45" s="71">
        <f t="shared" ref="BV45" si="94">IFERROR(BU45/BT45,"-")</f>
        <v>0.89770114942528734</v>
      </c>
      <c r="BW45" s="90">
        <f>SUM(BW7:BW44)</f>
        <v>3479</v>
      </c>
      <c r="BX45" s="91">
        <f>SUM(BX7:BX44)</f>
        <v>3075</v>
      </c>
      <c r="BY45" s="95">
        <f t="shared" ref="BY45" si="95">IFERROR(BX45/BW45,"-")</f>
        <v>0.88387467663121588</v>
      </c>
      <c r="BZ45" s="96">
        <f>SUM(BZ7:BZ44)</f>
        <v>5243</v>
      </c>
      <c r="CA45" s="92">
        <f>SUM(CA7:CA44)</f>
        <v>4597</v>
      </c>
      <c r="CB45" s="97">
        <f t="shared" ref="CB45" si="96">IFERROR(CA45/BZ45,"-")</f>
        <v>0.87678809841693683</v>
      </c>
      <c r="CC45" s="98">
        <f>SUM(CC7:CC44)</f>
        <v>8722</v>
      </c>
      <c r="CD45" s="99">
        <f>SUM(CD7:CD44)</f>
        <v>7672</v>
      </c>
      <c r="CE45" s="100">
        <f t="shared" ref="CE45" si="97">IFERROR(CD45/CC45,"-")</f>
        <v>0.8796147672552167</v>
      </c>
      <c r="CF45" s="57">
        <f>SUM(CF7:CF44)</f>
        <v>161</v>
      </c>
      <c r="CG45" s="58">
        <f>SUM(CG7:CG44)</f>
        <v>82</v>
      </c>
      <c r="CH45" s="59">
        <f t="shared" si="79"/>
        <v>0.50931677018633537</v>
      </c>
      <c r="CI45" s="60">
        <f>SUM(CI7:CI44)</f>
        <v>209</v>
      </c>
      <c r="CJ45" s="60">
        <f>SUM(CJ7:CJ44)</f>
        <v>101</v>
      </c>
      <c r="CK45" s="61">
        <f t="shared" si="80"/>
        <v>0.48325358851674644</v>
      </c>
      <c r="CL45" s="58">
        <f>SUM(CL7:CL44)</f>
        <v>233</v>
      </c>
      <c r="CM45" s="58">
        <f>SUM(CM7:CM44)</f>
        <v>166</v>
      </c>
      <c r="CN45" s="59">
        <f t="shared" si="81"/>
        <v>0.71244635193133043</v>
      </c>
      <c r="CO45" s="60">
        <f>SUM(CO7:CO44)</f>
        <v>170</v>
      </c>
      <c r="CP45" s="60">
        <f>SUM(CP7:CP44)</f>
        <v>137</v>
      </c>
      <c r="CQ45" s="62">
        <f t="shared" si="82"/>
        <v>0.80588235294117649</v>
      </c>
    </row>
    <row r="46" spans="1:99" s="28" customFormat="1" ht="5.25" customHeight="1" thickTop="1" thickBot="1" x14ac:dyDescent="0.3">
      <c r="A46" s="26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19"/>
      <c r="BS46" s="19"/>
      <c r="BT46" s="19"/>
      <c r="BU46" s="19"/>
      <c r="BV46" s="19"/>
      <c r="BW46" s="19"/>
    </row>
    <row r="47" spans="1:99" s="19" customFormat="1" ht="32.25" customHeight="1" thickTop="1" thickBot="1" x14ac:dyDescent="0.3">
      <c r="A47" s="160" t="s">
        <v>8</v>
      </c>
      <c r="B47" s="163" t="s">
        <v>9</v>
      </c>
      <c r="C47" s="166" t="s">
        <v>10</v>
      </c>
      <c r="D47" s="169" t="s">
        <v>11</v>
      </c>
      <c r="E47" s="117" t="s">
        <v>104</v>
      </c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118"/>
      <c r="BT47" s="118"/>
      <c r="BU47" s="118"/>
      <c r="BV47" s="119"/>
      <c r="BW47" s="135" t="s">
        <v>125</v>
      </c>
      <c r="BX47" s="136"/>
      <c r="BY47" s="137"/>
      <c r="BZ47" s="141" t="s">
        <v>126</v>
      </c>
      <c r="CA47" s="142"/>
      <c r="CB47" s="143"/>
      <c r="CC47" s="147" t="s">
        <v>127</v>
      </c>
      <c r="CD47" s="148"/>
      <c r="CE47" s="149"/>
      <c r="CF47" s="184" t="s">
        <v>59</v>
      </c>
      <c r="CG47" s="185"/>
      <c r="CH47" s="186"/>
    </row>
    <row r="48" spans="1:99" s="20" customFormat="1" ht="36" customHeight="1" x14ac:dyDescent="0.25">
      <c r="A48" s="161"/>
      <c r="B48" s="164"/>
      <c r="C48" s="167"/>
      <c r="D48" s="170"/>
      <c r="E48" s="126" t="s">
        <v>105</v>
      </c>
      <c r="F48" s="127"/>
      <c r="G48" s="127"/>
      <c r="H48" s="128"/>
      <c r="I48" s="129" t="s">
        <v>106</v>
      </c>
      <c r="J48" s="130"/>
      <c r="K48" s="131"/>
      <c r="L48" s="126" t="s">
        <v>107</v>
      </c>
      <c r="M48" s="127"/>
      <c r="N48" s="127"/>
      <c r="O48" s="128"/>
      <c r="P48" s="129" t="s">
        <v>108</v>
      </c>
      <c r="Q48" s="130"/>
      <c r="R48" s="131"/>
      <c r="S48" s="126" t="s">
        <v>109</v>
      </c>
      <c r="T48" s="127"/>
      <c r="U48" s="127"/>
      <c r="V48" s="128"/>
      <c r="W48" s="129" t="s">
        <v>110</v>
      </c>
      <c r="X48" s="130"/>
      <c r="Y48" s="131"/>
      <c r="Z48" s="110" t="s">
        <v>111</v>
      </c>
      <c r="AA48" s="111"/>
      <c r="AB48" s="111"/>
      <c r="AC48" s="112"/>
      <c r="AD48" s="120" t="s">
        <v>112</v>
      </c>
      <c r="AE48" s="121"/>
      <c r="AF48" s="122"/>
      <c r="AG48" s="110" t="s">
        <v>113</v>
      </c>
      <c r="AH48" s="111"/>
      <c r="AI48" s="111"/>
      <c r="AJ48" s="112"/>
      <c r="AK48" s="120" t="s">
        <v>114</v>
      </c>
      <c r="AL48" s="121"/>
      <c r="AM48" s="122"/>
      <c r="AN48" s="126" t="s">
        <v>115</v>
      </c>
      <c r="AO48" s="127"/>
      <c r="AP48" s="127"/>
      <c r="AQ48" s="128"/>
      <c r="AR48" s="129" t="s">
        <v>116</v>
      </c>
      <c r="AS48" s="130"/>
      <c r="AT48" s="131"/>
      <c r="AU48" s="173" t="s">
        <v>117</v>
      </c>
      <c r="AV48" s="174"/>
      <c r="AW48" s="174"/>
      <c r="AX48" s="175"/>
      <c r="AY48" s="129" t="s">
        <v>118</v>
      </c>
      <c r="AZ48" s="130"/>
      <c r="BA48" s="131"/>
      <c r="BB48" s="173" t="s">
        <v>119</v>
      </c>
      <c r="BC48" s="174"/>
      <c r="BD48" s="174"/>
      <c r="BE48" s="175"/>
      <c r="BF48" s="129" t="s">
        <v>120</v>
      </c>
      <c r="BG48" s="130"/>
      <c r="BH48" s="131"/>
      <c r="BI48" s="173" t="s">
        <v>121</v>
      </c>
      <c r="BJ48" s="174"/>
      <c r="BK48" s="174"/>
      <c r="BL48" s="175"/>
      <c r="BM48" s="129" t="s">
        <v>122</v>
      </c>
      <c r="BN48" s="130"/>
      <c r="BO48" s="131"/>
      <c r="BP48" s="177" t="s">
        <v>123</v>
      </c>
      <c r="BQ48" s="178"/>
      <c r="BR48" s="178"/>
      <c r="BS48" s="179"/>
      <c r="BT48" s="120" t="s">
        <v>124</v>
      </c>
      <c r="BU48" s="121"/>
      <c r="BV48" s="122"/>
      <c r="BW48" s="138"/>
      <c r="BX48" s="139"/>
      <c r="BY48" s="140"/>
      <c r="BZ48" s="144"/>
      <c r="CA48" s="145"/>
      <c r="CB48" s="146"/>
      <c r="CC48" s="150"/>
      <c r="CD48" s="151"/>
      <c r="CE48" s="152"/>
      <c r="CF48" s="187"/>
      <c r="CG48" s="188"/>
      <c r="CH48" s="189"/>
      <c r="CU48" s="19"/>
    </row>
    <row r="49" spans="1:89" s="19" customFormat="1" ht="21.75" customHeight="1" x14ac:dyDescent="0.25">
      <c r="A49" s="161"/>
      <c r="B49" s="164"/>
      <c r="C49" s="167"/>
      <c r="D49" s="170"/>
      <c r="E49" s="113" t="s">
        <v>29</v>
      </c>
      <c r="F49" s="114"/>
      <c r="G49" s="115" t="s">
        <v>30</v>
      </c>
      <c r="H49" s="116"/>
      <c r="I49" s="132"/>
      <c r="J49" s="133"/>
      <c r="K49" s="134"/>
      <c r="L49" s="113" t="s">
        <v>29</v>
      </c>
      <c r="M49" s="114"/>
      <c r="N49" s="115" t="s">
        <v>30</v>
      </c>
      <c r="O49" s="116"/>
      <c r="P49" s="132"/>
      <c r="Q49" s="133"/>
      <c r="R49" s="134"/>
      <c r="S49" s="113" t="s">
        <v>29</v>
      </c>
      <c r="T49" s="114"/>
      <c r="U49" s="115" t="s">
        <v>30</v>
      </c>
      <c r="V49" s="116"/>
      <c r="W49" s="132"/>
      <c r="X49" s="133"/>
      <c r="Y49" s="134"/>
      <c r="Z49" s="113" t="s">
        <v>29</v>
      </c>
      <c r="AA49" s="114"/>
      <c r="AB49" s="115" t="s">
        <v>30</v>
      </c>
      <c r="AC49" s="116"/>
      <c r="AD49" s="123"/>
      <c r="AE49" s="124"/>
      <c r="AF49" s="125"/>
      <c r="AG49" s="113" t="s">
        <v>29</v>
      </c>
      <c r="AH49" s="114"/>
      <c r="AI49" s="115" t="s">
        <v>30</v>
      </c>
      <c r="AJ49" s="116"/>
      <c r="AK49" s="123"/>
      <c r="AL49" s="124"/>
      <c r="AM49" s="125"/>
      <c r="AN49" s="113" t="s">
        <v>29</v>
      </c>
      <c r="AO49" s="114"/>
      <c r="AP49" s="115" t="s">
        <v>30</v>
      </c>
      <c r="AQ49" s="116"/>
      <c r="AR49" s="132"/>
      <c r="AS49" s="133"/>
      <c r="AT49" s="134"/>
      <c r="AU49" s="113" t="s">
        <v>29</v>
      </c>
      <c r="AV49" s="114"/>
      <c r="AW49" s="115" t="s">
        <v>30</v>
      </c>
      <c r="AX49" s="116"/>
      <c r="AY49" s="132"/>
      <c r="AZ49" s="133"/>
      <c r="BA49" s="134"/>
      <c r="BB49" s="113" t="s">
        <v>29</v>
      </c>
      <c r="BC49" s="114"/>
      <c r="BD49" s="115" t="s">
        <v>30</v>
      </c>
      <c r="BE49" s="116"/>
      <c r="BF49" s="132"/>
      <c r="BG49" s="133"/>
      <c r="BH49" s="134"/>
      <c r="BI49" s="113" t="s">
        <v>29</v>
      </c>
      <c r="BJ49" s="114"/>
      <c r="BK49" s="115" t="s">
        <v>30</v>
      </c>
      <c r="BL49" s="116"/>
      <c r="BM49" s="132"/>
      <c r="BN49" s="133"/>
      <c r="BO49" s="134"/>
      <c r="BP49" s="113" t="s">
        <v>29</v>
      </c>
      <c r="BQ49" s="114"/>
      <c r="BR49" s="115" t="s">
        <v>30</v>
      </c>
      <c r="BS49" s="116"/>
      <c r="BT49" s="123"/>
      <c r="BU49" s="124"/>
      <c r="BV49" s="125"/>
      <c r="BW49" s="153" t="s">
        <v>24</v>
      </c>
      <c r="BX49" s="154" t="s">
        <v>14</v>
      </c>
      <c r="BY49" s="155" t="s">
        <v>31</v>
      </c>
      <c r="BZ49" s="156" t="s">
        <v>24</v>
      </c>
      <c r="CA49" s="157" t="s">
        <v>14</v>
      </c>
      <c r="CB49" s="158" t="s">
        <v>31</v>
      </c>
      <c r="CC49" s="159" t="s">
        <v>24</v>
      </c>
      <c r="CD49" s="181" t="s">
        <v>14</v>
      </c>
      <c r="CE49" s="182" t="s">
        <v>31</v>
      </c>
      <c r="CF49" s="190" t="s">
        <v>24</v>
      </c>
      <c r="CG49" s="192" t="s">
        <v>14</v>
      </c>
      <c r="CH49" s="194" t="s">
        <v>31</v>
      </c>
    </row>
    <row r="50" spans="1:89" s="18" customFormat="1" ht="25.5" customHeight="1" x14ac:dyDescent="0.25">
      <c r="A50" s="162"/>
      <c r="B50" s="165"/>
      <c r="C50" s="168"/>
      <c r="D50" s="171"/>
      <c r="E50" s="21" t="s">
        <v>24</v>
      </c>
      <c r="F50" s="22" t="s">
        <v>14</v>
      </c>
      <c r="G50" s="23" t="s">
        <v>24</v>
      </c>
      <c r="H50" s="23" t="s">
        <v>14</v>
      </c>
      <c r="I50" s="24" t="s">
        <v>24</v>
      </c>
      <c r="J50" s="24" t="s">
        <v>14</v>
      </c>
      <c r="K50" s="25" t="s">
        <v>31</v>
      </c>
      <c r="L50" s="21" t="s">
        <v>24</v>
      </c>
      <c r="M50" s="22" t="s">
        <v>14</v>
      </c>
      <c r="N50" s="23" t="s">
        <v>24</v>
      </c>
      <c r="O50" s="23" t="s">
        <v>14</v>
      </c>
      <c r="P50" s="24" t="s">
        <v>24</v>
      </c>
      <c r="Q50" s="24" t="s">
        <v>14</v>
      </c>
      <c r="R50" s="25" t="s">
        <v>31</v>
      </c>
      <c r="S50" s="21" t="s">
        <v>24</v>
      </c>
      <c r="T50" s="22" t="s">
        <v>14</v>
      </c>
      <c r="U50" s="23" t="s">
        <v>24</v>
      </c>
      <c r="V50" s="23" t="s">
        <v>14</v>
      </c>
      <c r="W50" s="24" t="s">
        <v>24</v>
      </c>
      <c r="X50" s="24" t="s">
        <v>14</v>
      </c>
      <c r="Y50" s="25" t="s">
        <v>31</v>
      </c>
      <c r="Z50" s="21" t="s">
        <v>24</v>
      </c>
      <c r="AA50" s="22" t="s">
        <v>14</v>
      </c>
      <c r="AB50" s="23" t="s">
        <v>24</v>
      </c>
      <c r="AC50" s="23" t="s">
        <v>14</v>
      </c>
      <c r="AD50" s="24" t="s">
        <v>24</v>
      </c>
      <c r="AE50" s="24" t="s">
        <v>14</v>
      </c>
      <c r="AF50" s="25" t="s">
        <v>31</v>
      </c>
      <c r="AG50" s="21" t="s">
        <v>24</v>
      </c>
      <c r="AH50" s="22" t="s">
        <v>14</v>
      </c>
      <c r="AI50" s="23" t="s">
        <v>24</v>
      </c>
      <c r="AJ50" s="23" t="s">
        <v>14</v>
      </c>
      <c r="AK50" s="24" t="s">
        <v>24</v>
      </c>
      <c r="AL50" s="24" t="s">
        <v>14</v>
      </c>
      <c r="AM50" s="25" t="s">
        <v>31</v>
      </c>
      <c r="AN50" s="21" t="s">
        <v>24</v>
      </c>
      <c r="AO50" s="22" t="s">
        <v>14</v>
      </c>
      <c r="AP50" s="23" t="s">
        <v>24</v>
      </c>
      <c r="AQ50" s="23" t="s">
        <v>14</v>
      </c>
      <c r="AR50" s="24" t="s">
        <v>24</v>
      </c>
      <c r="AS50" s="24" t="s">
        <v>14</v>
      </c>
      <c r="AT50" s="25" t="s">
        <v>31</v>
      </c>
      <c r="AU50" s="21" t="s">
        <v>24</v>
      </c>
      <c r="AV50" s="22" t="s">
        <v>14</v>
      </c>
      <c r="AW50" s="23" t="s">
        <v>24</v>
      </c>
      <c r="AX50" s="23" t="s">
        <v>14</v>
      </c>
      <c r="AY50" s="24" t="s">
        <v>24</v>
      </c>
      <c r="AZ50" s="24" t="s">
        <v>14</v>
      </c>
      <c r="BA50" s="25" t="s">
        <v>31</v>
      </c>
      <c r="BB50" s="21" t="s">
        <v>24</v>
      </c>
      <c r="BC50" s="22" t="s">
        <v>14</v>
      </c>
      <c r="BD50" s="23" t="s">
        <v>24</v>
      </c>
      <c r="BE50" s="23" t="s">
        <v>14</v>
      </c>
      <c r="BF50" s="24" t="s">
        <v>24</v>
      </c>
      <c r="BG50" s="24" t="s">
        <v>14</v>
      </c>
      <c r="BH50" s="25" t="s">
        <v>31</v>
      </c>
      <c r="BI50" s="21" t="s">
        <v>24</v>
      </c>
      <c r="BJ50" s="22" t="s">
        <v>14</v>
      </c>
      <c r="BK50" s="23" t="s">
        <v>24</v>
      </c>
      <c r="BL50" s="23" t="s">
        <v>14</v>
      </c>
      <c r="BM50" s="24" t="s">
        <v>24</v>
      </c>
      <c r="BN50" s="24" t="s">
        <v>14</v>
      </c>
      <c r="BO50" s="25" t="s">
        <v>31</v>
      </c>
      <c r="BP50" s="21" t="s">
        <v>24</v>
      </c>
      <c r="BQ50" s="22" t="s">
        <v>14</v>
      </c>
      <c r="BR50" s="23" t="s">
        <v>24</v>
      </c>
      <c r="BS50" s="23" t="s">
        <v>14</v>
      </c>
      <c r="BT50" s="24" t="s">
        <v>24</v>
      </c>
      <c r="BU50" s="24" t="s">
        <v>14</v>
      </c>
      <c r="BV50" s="25" t="s">
        <v>31</v>
      </c>
      <c r="BW50" s="153"/>
      <c r="BX50" s="154"/>
      <c r="BY50" s="155"/>
      <c r="BZ50" s="156"/>
      <c r="CA50" s="157"/>
      <c r="CB50" s="158"/>
      <c r="CC50" s="159"/>
      <c r="CD50" s="181"/>
      <c r="CE50" s="182"/>
      <c r="CF50" s="191"/>
      <c r="CG50" s="193"/>
      <c r="CH50" s="195"/>
    </row>
    <row r="51" spans="1:89" s="17" customFormat="1" ht="21" customHeight="1" x14ac:dyDescent="0.2">
      <c r="A51" s="103">
        <v>1</v>
      </c>
      <c r="B51" s="104" t="s">
        <v>51</v>
      </c>
      <c r="C51" s="65" t="s">
        <v>15</v>
      </c>
      <c r="D51" s="66" t="s">
        <v>16</v>
      </c>
      <c r="E51" s="67">
        <v>0</v>
      </c>
      <c r="F51" s="68">
        <v>0</v>
      </c>
      <c r="G51" s="69">
        <v>0</v>
      </c>
      <c r="H51" s="69">
        <v>0</v>
      </c>
      <c r="I51" s="70">
        <f t="shared" ref="I51" si="98">SUM(E51,G51)</f>
        <v>0</v>
      </c>
      <c r="J51" s="70">
        <f t="shared" ref="J51" si="99">SUM(F51,H51)</f>
        <v>0</v>
      </c>
      <c r="K51" s="71" t="str">
        <f t="shared" ref="K51" si="100">IFERROR(J51/I51,"-")</f>
        <v>-</v>
      </c>
      <c r="L51" s="67">
        <v>0</v>
      </c>
      <c r="M51" s="68">
        <v>0</v>
      </c>
      <c r="N51" s="69">
        <v>0</v>
      </c>
      <c r="O51" s="69">
        <v>0</v>
      </c>
      <c r="P51" s="70">
        <f t="shared" ref="P51:P88" si="101">SUM(L51,N51)</f>
        <v>0</v>
      </c>
      <c r="Q51" s="70">
        <f t="shared" ref="Q51:Q88" si="102">SUM(M51,O51)</f>
        <v>0</v>
      </c>
      <c r="R51" s="71" t="str">
        <f t="shared" ref="R51:R88" si="103">IFERROR(Q51/P51,"-")</f>
        <v>-</v>
      </c>
      <c r="S51" s="67">
        <v>3</v>
      </c>
      <c r="T51" s="68">
        <v>1</v>
      </c>
      <c r="U51" s="69">
        <v>0</v>
      </c>
      <c r="V51" s="69">
        <v>0</v>
      </c>
      <c r="W51" s="70">
        <f t="shared" ref="W51:W88" si="104">SUM(S51,U51)</f>
        <v>3</v>
      </c>
      <c r="X51" s="70">
        <f t="shared" ref="X51:X88" si="105">SUM(T51,V51)</f>
        <v>1</v>
      </c>
      <c r="Y51" s="71">
        <f t="shared" ref="Y51:Y88" si="106">IFERROR(X51/W51,"-")</f>
        <v>0.33333333333333331</v>
      </c>
      <c r="Z51" s="67">
        <v>0</v>
      </c>
      <c r="AA51" s="68">
        <v>0</v>
      </c>
      <c r="AB51" s="69">
        <v>0</v>
      </c>
      <c r="AC51" s="69">
        <v>0</v>
      </c>
      <c r="AD51" s="70">
        <f t="shared" ref="AD51:AD88" si="107">SUM(Z51,AB51)</f>
        <v>0</v>
      </c>
      <c r="AE51" s="70">
        <f t="shared" ref="AE51:AE88" si="108">SUM(AA51,AC51)</f>
        <v>0</v>
      </c>
      <c r="AF51" s="71" t="str">
        <f t="shared" ref="AF51:AF88" si="109">IFERROR(AE51/AD51,"-")</f>
        <v>-</v>
      </c>
      <c r="AG51" s="67">
        <v>37</v>
      </c>
      <c r="AH51" s="68">
        <v>10</v>
      </c>
      <c r="AI51" s="69">
        <v>2</v>
      </c>
      <c r="AJ51" s="69">
        <v>1</v>
      </c>
      <c r="AK51" s="70">
        <f t="shared" ref="AK51:AK88" si="110">SUM(AG51,AI51)</f>
        <v>39</v>
      </c>
      <c r="AL51" s="70">
        <f t="shared" ref="AL51:AL88" si="111">SUM(AH51,AJ51)</f>
        <v>11</v>
      </c>
      <c r="AM51" s="71">
        <f t="shared" ref="AM51:AM88" si="112">IFERROR(AL51/AK51,"-")</f>
        <v>0.28205128205128205</v>
      </c>
      <c r="AN51" s="67">
        <v>15</v>
      </c>
      <c r="AO51" s="68">
        <v>6</v>
      </c>
      <c r="AP51" s="69">
        <v>13</v>
      </c>
      <c r="AQ51" s="69">
        <v>4</v>
      </c>
      <c r="AR51" s="70">
        <f t="shared" ref="AR51:AR88" si="113">SUM(AN51,AP51)</f>
        <v>28</v>
      </c>
      <c r="AS51" s="70">
        <f t="shared" ref="AS51:AS88" si="114">SUM(AO51,AQ51)</f>
        <v>10</v>
      </c>
      <c r="AT51" s="71">
        <f t="shared" ref="AT51:AT88" si="115">IFERROR(AS51/AR51,"-")</f>
        <v>0.35714285714285715</v>
      </c>
      <c r="AU51" s="67">
        <v>0</v>
      </c>
      <c r="AV51" s="68">
        <v>0</v>
      </c>
      <c r="AW51" s="69">
        <v>0</v>
      </c>
      <c r="AX51" s="69">
        <v>0</v>
      </c>
      <c r="AY51" s="70">
        <f t="shared" ref="AY51:AY88" si="116">SUM(AU51,AW51)</f>
        <v>0</v>
      </c>
      <c r="AZ51" s="70">
        <f t="shared" ref="AZ51:AZ88" si="117">SUM(AV51,AX51)</f>
        <v>0</v>
      </c>
      <c r="BA51" s="71" t="str">
        <f t="shared" ref="BA51:BA88" si="118">IFERROR(AZ51/AY51,"-")</f>
        <v>-</v>
      </c>
      <c r="BB51" s="67">
        <v>5</v>
      </c>
      <c r="BC51" s="68">
        <v>1</v>
      </c>
      <c r="BD51" s="69">
        <v>0</v>
      </c>
      <c r="BE51" s="69">
        <v>0</v>
      </c>
      <c r="BF51" s="70">
        <f t="shared" ref="BF51:BF88" si="119">SUM(BB51,BD51)</f>
        <v>5</v>
      </c>
      <c r="BG51" s="70">
        <f t="shared" ref="BG51:BG88" si="120">SUM(BC51,BE51)</f>
        <v>1</v>
      </c>
      <c r="BH51" s="71">
        <f t="shared" ref="BH51:BH88" si="121">IFERROR(BG51/BF51,"-")</f>
        <v>0.2</v>
      </c>
      <c r="BI51" s="67">
        <v>0</v>
      </c>
      <c r="BJ51" s="68">
        <v>0</v>
      </c>
      <c r="BK51" s="69">
        <v>0</v>
      </c>
      <c r="BL51" s="69">
        <v>0</v>
      </c>
      <c r="BM51" s="70">
        <f t="shared" ref="BM51:BM88" si="122">SUM(BI51,BK51)</f>
        <v>0</v>
      </c>
      <c r="BN51" s="70">
        <f t="shared" ref="BN51:BN88" si="123">SUM(BJ51,BL51)</f>
        <v>0</v>
      </c>
      <c r="BO51" s="71" t="str">
        <f t="shared" ref="BO51:BO88" si="124">IFERROR(BN51/BM51,"-")</f>
        <v>-</v>
      </c>
      <c r="BP51" s="67">
        <v>30</v>
      </c>
      <c r="BQ51" s="68">
        <v>3</v>
      </c>
      <c r="BR51" s="69">
        <v>10</v>
      </c>
      <c r="BS51" s="69">
        <v>3</v>
      </c>
      <c r="BT51" s="70">
        <f t="shared" ref="BT51:BT88" si="125">SUM(BP51,BR51)</f>
        <v>40</v>
      </c>
      <c r="BU51" s="70">
        <f t="shared" ref="BU51:BU88" si="126">SUM(BQ51,BS51)</f>
        <v>6</v>
      </c>
      <c r="BV51" s="71">
        <f t="shared" ref="BV51:BV88" si="127">IFERROR(BU51/BT51,"-")</f>
        <v>0.15</v>
      </c>
      <c r="BW51" s="67">
        <f t="shared" ref="BW51" si="128">SUM(E51,S51,Z51,AG51,AN51,AU51,L51,BB51,BI51,BP51)</f>
        <v>90</v>
      </c>
      <c r="BX51" s="68">
        <f t="shared" ref="BX51" si="129">SUM(F51,T51,AA51,AH51,AO51,AV51,M51,BC51,BJ51,BQ51)</f>
        <v>21</v>
      </c>
      <c r="BY51" s="72">
        <f t="shared" ref="BY51" si="130">IFERROR(BX51/BW51,"-")</f>
        <v>0.23333333333333334</v>
      </c>
      <c r="BZ51" s="73">
        <f t="shared" ref="BZ51" si="131">SUM(G51,U51,AB51,AI51,AP51,AW51,N51,BD51,BK51,BR51)</f>
        <v>25</v>
      </c>
      <c r="CA51" s="69">
        <f t="shared" ref="CA51" si="132">SUM(H51,V51,AC51,AJ51,AQ51,AX51,O51,BE51,BL51,BS51)</f>
        <v>8</v>
      </c>
      <c r="CB51" s="74">
        <f t="shared" ref="CB51" si="133">IFERROR(CA51/BZ51,"-")</f>
        <v>0.32</v>
      </c>
      <c r="CC51" s="75">
        <f t="shared" ref="CC51" si="134">SUM(BW51,BZ51)</f>
        <v>115</v>
      </c>
      <c r="CD51" s="76">
        <f t="shared" ref="CD51" si="135">SUM(BX51,CA51)</f>
        <v>29</v>
      </c>
      <c r="CE51" s="84">
        <f t="shared" ref="CE51" si="136">IFERROR(CD51/CC51,"-")</f>
        <v>0.25217391304347825</v>
      </c>
      <c r="CF51" s="83">
        <v>0</v>
      </c>
      <c r="CG51" s="78">
        <v>0</v>
      </c>
      <c r="CH51" s="85" t="s">
        <v>136</v>
      </c>
    </row>
    <row r="52" spans="1:89" s="17" customFormat="1" ht="21" customHeight="1" x14ac:dyDescent="0.2">
      <c r="A52" s="103">
        <v>2</v>
      </c>
      <c r="B52" s="104" t="s">
        <v>41</v>
      </c>
      <c r="C52" s="65" t="s">
        <v>15</v>
      </c>
      <c r="D52" s="66" t="s">
        <v>16</v>
      </c>
      <c r="E52" s="67">
        <v>0</v>
      </c>
      <c r="F52" s="68">
        <v>0</v>
      </c>
      <c r="G52" s="69">
        <v>0</v>
      </c>
      <c r="H52" s="69">
        <v>0</v>
      </c>
      <c r="I52" s="70">
        <f t="shared" ref="I52:I88" si="137">SUM(E52,G52)</f>
        <v>0</v>
      </c>
      <c r="J52" s="70">
        <f t="shared" ref="J52:J88" si="138">SUM(F52,H52)</f>
        <v>0</v>
      </c>
      <c r="K52" s="71" t="str">
        <f t="shared" ref="K52:K88" si="139">IFERROR(J52/I52,"-")</f>
        <v>-</v>
      </c>
      <c r="L52" s="67">
        <v>36</v>
      </c>
      <c r="M52" s="68">
        <v>4</v>
      </c>
      <c r="N52" s="69">
        <v>0</v>
      </c>
      <c r="O52" s="69">
        <v>0</v>
      </c>
      <c r="P52" s="70">
        <f t="shared" si="101"/>
        <v>36</v>
      </c>
      <c r="Q52" s="70">
        <f t="shared" si="102"/>
        <v>4</v>
      </c>
      <c r="R52" s="71">
        <f t="shared" si="103"/>
        <v>0.1111111111111111</v>
      </c>
      <c r="S52" s="67">
        <v>106</v>
      </c>
      <c r="T52" s="68">
        <v>13</v>
      </c>
      <c r="U52" s="69">
        <v>0</v>
      </c>
      <c r="V52" s="69">
        <v>0</v>
      </c>
      <c r="W52" s="70">
        <f t="shared" si="104"/>
        <v>106</v>
      </c>
      <c r="X52" s="70">
        <f t="shared" si="105"/>
        <v>13</v>
      </c>
      <c r="Y52" s="71">
        <f t="shared" si="106"/>
        <v>0.12264150943396226</v>
      </c>
      <c r="Z52" s="67">
        <v>0</v>
      </c>
      <c r="AA52" s="68">
        <v>0</v>
      </c>
      <c r="AB52" s="69">
        <v>0</v>
      </c>
      <c r="AC52" s="69">
        <v>0</v>
      </c>
      <c r="AD52" s="70">
        <f t="shared" si="107"/>
        <v>0</v>
      </c>
      <c r="AE52" s="70">
        <f t="shared" si="108"/>
        <v>0</v>
      </c>
      <c r="AF52" s="71" t="str">
        <f t="shared" si="109"/>
        <v>-</v>
      </c>
      <c r="AG52" s="67">
        <v>56</v>
      </c>
      <c r="AH52" s="68">
        <v>10</v>
      </c>
      <c r="AI52" s="69">
        <v>0</v>
      </c>
      <c r="AJ52" s="69">
        <v>0</v>
      </c>
      <c r="AK52" s="70">
        <f t="shared" si="110"/>
        <v>56</v>
      </c>
      <c r="AL52" s="70">
        <f t="shared" si="111"/>
        <v>10</v>
      </c>
      <c r="AM52" s="71">
        <f t="shared" si="112"/>
        <v>0.17857142857142858</v>
      </c>
      <c r="AN52" s="67">
        <v>57</v>
      </c>
      <c r="AO52" s="68">
        <v>4</v>
      </c>
      <c r="AP52" s="69">
        <v>42</v>
      </c>
      <c r="AQ52" s="69">
        <v>0</v>
      </c>
      <c r="AR52" s="70">
        <f t="shared" si="113"/>
        <v>99</v>
      </c>
      <c r="AS52" s="70">
        <f t="shared" si="114"/>
        <v>4</v>
      </c>
      <c r="AT52" s="71">
        <f t="shared" si="115"/>
        <v>4.0404040404040407E-2</v>
      </c>
      <c r="AU52" s="67">
        <v>51</v>
      </c>
      <c r="AV52" s="68">
        <v>30</v>
      </c>
      <c r="AW52" s="69">
        <v>0</v>
      </c>
      <c r="AX52" s="69">
        <v>0</v>
      </c>
      <c r="AY52" s="70">
        <f t="shared" si="116"/>
        <v>51</v>
      </c>
      <c r="AZ52" s="70">
        <f t="shared" si="117"/>
        <v>30</v>
      </c>
      <c r="BA52" s="71">
        <f t="shared" si="118"/>
        <v>0.58823529411764708</v>
      </c>
      <c r="BB52" s="67">
        <v>0</v>
      </c>
      <c r="BC52" s="68">
        <v>0</v>
      </c>
      <c r="BD52" s="69">
        <v>0</v>
      </c>
      <c r="BE52" s="69">
        <v>0</v>
      </c>
      <c r="BF52" s="70">
        <f t="shared" si="119"/>
        <v>0</v>
      </c>
      <c r="BG52" s="70">
        <f t="shared" si="120"/>
        <v>0</v>
      </c>
      <c r="BH52" s="71" t="str">
        <f t="shared" si="121"/>
        <v>-</v>
      </c>
      <c r="BI52" s="67">
        <v>0</v>
      </c>
      <c r="BJ52" s="68">
        <v>0</v>
      </c>
      <c r="BK52" s="69">
        <v>0</v>
      </c>
      <c r="BL52" s="69">
        <v>0</v>
      </c>
      <c r="BM52" s="70">
        <f t="shared" si="122"/>
        <v>0</v>
      </c>
      <c r="BN52" s="70">
        <f t="shared" si="123"/>
        <v>0</v>
      </c>
      <c r="BO52" s="71" t="str">
        <f t="shared" si="124"/>
        <v>-</v>
      </c>
      <c r="BP52" s="67">
        <v>37</v>
      </c>
      <c r="BQ52" s="68">
        <v>0</v>
      </c>
      <c r="BR52" s="69">
        <v>0</v>
      </c>
      <c r="BS52" s="69">
        <v>0</v>
      </c>
      <c r="BT52" s="70">
        <f t="shared" si="125"/>
        <v>37</v>
      </c>
      <c r="BU52" s="70">
        <f t="shared" si="126"/>
        <v>0</v>
      </c>
      <c r="BV52" s="71">
        <f t="shared" si="127"/>
        <v>0</v>
      </c>
      <c r="BW52" s="67">
        <f t="shared" ref="BW52:BW88" si="140">SUM(E52,S52,Z52,AG52,AN52,AU52,L52,BB52,BI52,BP52)</f>
        <v>343</v>
      </c>
      <c r="BX52" s="68">
        <f t="shared" ref="BX52:BX88" si="141">SUM(F52,T52,AA52,AH52,AO52,AV52,M52,BC52,BJ52,BQ52)</f>
        <v>61</v>
      </c>
      <c r="BY52" s="72">
        <f t="shared" ref="BY52:BY88" si="142">IFERROR(BX52/BW52,"-")</f>
        <v>0.17784256559766765</v>
      </c>
      <c r="BZ52" s="73">
        <f t="shared" ref="BZ52:BZ88" si="143">SUM(G52,U52,AB52,AI52,AP52,AW52,N52,BD52,BK52,BR52)</f>
        <v>42</v>
      </c>
      <c r="CA52" s="69">
        <f t="shared" ref="CA52:CA88" si="144">SUM(H52,V52,AC52,AJ52,AQ52,AX52,O52,BE52,BL52,BS52)</f>
        <v>0</v>
      </c>
      <c r="CB52" s="74">
        <f t="shared" ref="CB52:CB88" si="145">IFERROR(CA52/BZ52,"-")</f>
        <v>0</v>
      </c>
      <c r="CC52" s="75">
        <f t="shared" ref="CC52:CC88" si="146">SUM(BW52,BZ52)</f>
        <v>385</v>
      </c>
      <c r="CD52" s="76">
        <f t="shared" ref="CD52:CD88" si="147">SUM(BX52,CA52)</f>
        <v>61</v>
      </c>
      <c r="CE52" s="84">
        <f t="shared" ref="CE52:CE88" si="148">IFERROR(CD52/CC52,"-")</f>
        <v>0.15844155844155844</v>
      </c>
      <c r="CF52" s="83">
        <v>0</v>
      </c>
      <c r="CG52" s="78">
        <v>0</v>
      </c>
      <c r="CH52" s="85" t="str">
        <f t="shared" ref="CH52:CH54" si="149">IFERROR(CG52/CF52,"-")</f>
        <v>-</v>
      </c>
      <c r="CK52" s="17" t="s">
        <v>137</v>
      </c>
    </row>
    <row r="53" spans="1:89" s="17" customFormat="1" ht="21" customHeight="1" x14ac:dyDescent="0.2">
      <c r="A53" s="103">
        <v>3</v>
      </c>
      <c r="B53" s="104" t="s">
        <v>46</v>
      </c>
      <c r="C53" s="65" t="s">
        <v>15</v>
      </c>
      <c r="D53" s="66" t="s">
        <v>16</v>
      </c>
      <c r="E53" s="67">
        <v>0</v>
      </c>
      <c r="F53" s="68">
        <v>0</v>
      </c>
      <c r="G53" s="69">
        <v>0</v>
      </c>
      <c r="H53" s="69">
        <v>0</v>
      </c>
      <c r="I53" s="70">
        <f t="shared" si="137"/>
        <v>0</v>
      </c>
      <c r="J53" s="70">
        <f t="shared" si="138"/>
        <v>0</v>
      </c>
      <c r="K53" s="71" t="str">
        <f t="shared" si="139"/>
        <v>-</v>
      </c>
      <c r="L53" s="67">
        <v>0</v>
      </c>
      <c r="M53" s="68">
        <v>0</v>
      </c>
      <c r="N53" s="69">
        <v>0</v>
      </c>
      <c r="O53" s="69">
        <v>0</v>
      </c>
      <c r="P53" s="70">
        <f t="shared" si="101"/>
        <v>0</v>
      </c>
      <c r="Q53" s="70">
        <f t="shared" si="102"/>
        <v>0</v>
      </c>
      <c r="R53" s="71" t="str">
        <f t="shared" si="103"/>
        <v>-</v>
      </c>
      <c r="S53" s="67">
        <v>29</v>
      </c>
      <c r="T53" s="68">
        <v>0</v>
      </c>
      <c r="U53" s="69">
        <v>1</v>
      </c>
      <c r="V53" s="69">
        <v>0</v>
      </c>
      <c r="W53" s="70">
        <f t="shared" si="104"/>
        <v>30</v>
      </c>
      <c r="X53" s="70">
        <f t="shared" si="105"/>
        <v>0</v>
      </c>
      <c r="Y53" s="71">
        <f t="shared" si="106"/>
        <v>0</v>
      </c>
      <c r="Z53" s="67">
        <v>0</v>
      </c>
      <c r="AA53" s="68">
        <v>0</v>
      </c>
      <c r="AB53" s="69">
        <v>0</v>
      </c>
      <c r="AC53" s="69">
        <v>0</v>
      </c>
      <c r="AD53" s="70">
        <f t="shared" si="107"/>
        <v>0</v>
      </c>
      <c r="AE53" s="70">
        <f t="shared" si="108"/>
        <v>0</v>
      </c>
      <c r="AF53" s="71" t="str">
        <f t="shared" si="109"/>
        <v>-</v>
      </c>
      <c r="AG53" s="67">
        <v>46</v>
      </c>
      <c r="AH53" s="68">
        <v>2</v>
      </c>
      <c r="AI53" s="69">
        <v>7</v>
      </c>
      <c r="AJ53" s="69">
        <v>0</v>
      </c>
      <c r="AK53" s="70">
        <f t="shared" si="110"/>
        <v>53</v>
      </c>
      <c r="AL53" s="70">
        <f t="shared" si="111"/>
        <v>2</v>
      </c>
      <c r="AM53" s="71">
        <f t="shared" si="112"/>
        <v>3.7735849056603772E-2</v>
      </c>
      <c r="AN53" s="67">
        <v>8</v>
      </c>
      <c r="AO53" s="68">
        <v>2</v>
      </c>
      <c r="AP53" s="69">
        <v>28</v>
      </c>
      <c r="AQ53" s="69">
        <v>0</v>
      </c>
      <c r="AR53" s="70">
        <f t="shared" si="113"/>
        <v>36</v>
      </c>
      <c r="AS53" s="70">
        <f t="shared" si="114"/>
        <v>2</v>
      </c>
      <c r="AT53" s="71">
        <f t="shared" si="115"/>
        <v>5.5555555555555552E-2</v>
      </c>
      <c r="AU53" s="67">
        <v>0</v>
      </c>
      <c r="AV53" s="68">
        <v>0</v>
      </c>
      <c r="AW53" s="69">
        <v>0</v>
      </c>
      <c r="AX53" s="69">
        <v>0</v>
      </c>
      <c r="AY53" s="70">
        <f t="shared" si="116"/>
        <v>0</v>
      </c>
      <c r="AZ53" s="70">
        <f t="shared" si="117"/>
        <v>0</v>
      </c>
      <c r="BA53" s="71" t="str">
        <f t="shared" si="118"/>
        <v>-</v>
      </c>
      <c r="BB53" s="67">
        <v>38</v>
      </c>
      <c r="BC53" s="68">
        <v>1</v>
      </c>
      <c r="BD53" s="69">
        <v>10</v>
      </c>
      <c r="BE53" s="69">
        <v>0</v>
      </c>
      <c r="BF53" s="70">
        <f t="shared" si="119"/>
        <v>48</v>
      </c>
      <c r="BG53" s="70">
        <f t="shared" si="120"/>
        <v>1</v>
      </c>
      <c r="BH53" s="71">
        <f t="shared" si="121"/>
        <v>2.0833333333333332E-2</v>
      </c>
      <c r="BI53" s="67">
        <v>0</v>
      </c>
      <c r="BJ53" s="68">
        <v>0</v>
      </c>
      <c r="BK53" s="69">
        <v>0</v>
      </c>
      <c r="BL53" s="69">
        <v>0</v>
      </c>
      <c r="BM53" s="70">
        <f t="shared" si="122"/>
        <v>0</v>
      </c>
      <c r="BN53" s="70">
        <f t="shared" si="123"/>
        <v>0</v>
      </c>
      <c r="BO53" s="71" t="str">
        <f t="shared" si="124"/>
        <v>-</v>
      </c>
      <c r="BP53" s="67">
        <v>0</v>
      </c>
      <c r="BQ53" s="68">
        <v>0</v>
      </c>
      <c r="BR53" s="69">
        <v>0</v>
      </c>
      <c r="BS53" s="69">
        <v>0</v>
      </c>
      <c r="BT53" s="70">
        <f t="shared" si="125"/>
        <v>0</v>
      </c>
      <c r="BU53" s="70">
        <f t="shared" si="126"/>
        <v>0</v>
      </c>
      <c r="BV53" s="71" t="str">
        <f t="shared" si="127"/>
        <v>-</v>
      </c>
      <c r="BW53" s="67">
        <f t="shared" si="140"/>
        <v>121</v>
      </c>
      <c r="BX53" s="68">
        <f t="shared" si="141"/>
        <v>5</v>
      </c>
      <c r="BY53" s="72">
        <f t="shared" si="142"/>
        <v>4.1322314049586778E-2</v>
      </c>
      <c r="BZ53" s="73">
        <f t="shared" si="143"/>
        <v>46</v>
      </c>
      <c r="CA53" s="69">
        <f t="shared" si="144"/>
        <v>0</v>
      </c>
      <c r="CB53" s="74">
        <f t="shared" si="145"/>
        <v>0</v>
      </c>
      <c r="CC53" s="75">
        <f t="shared" si="146"/>
        <v>167</v>
      </c>
      <c r="CD53" s="76">
        <f t="shared" si="147"/>
        <v>5</v>
      </c>
      <c r="CE53" s="84">
        <f t="shared" si="148"/>
        <v>2.9940119760479042E-2</v>
      </c>
      <c r="CF53" s="83">
        <v>0</v>
      </c>
      <c r="CG53" s="78">
        <v>0</v>
      </c>
      <c r="CH53" s="85" t="str">
        <f t="shared" si="149"/>
        <v>-</v>
      </c>
    </row>
    <row r="54" spans="1:89" s="17" customFormat="1" ht="21" customHeight="1" x14ac:dyDescent="0.2">
      <c r="A54" s="103">
        <v>4</v>
      </c>
      <c r="B54" s="104" t="s">
        <v>36</v>
      </c>
      <c r="C54" s="65" t="s">
        <v>15</v>
      </c>
      <c r="D54" s="66" t="s">
        <v>16</v>
      </c>
      <c r="E54" s="67">
        <v>0</v>
      </c>
      <c r="F54" s="68">
        <v>0</v>
      </c>
      <c r="G54" s="69">
        <v>0</v>
      </c>
      <c r="H54" s="69">
        <v>0</v>
      </c>
      <c r="I54" s="70">
        <f t="shared" si="137"/>
        <v>0</v>
      </c>
      <c r="J54" s="70">
        <f t="shared" si="138"/>
        <v>0</v>
      </c>
      <c r="K54" s="71" t="str">
        <f t="shared" si="139"/>
        <v>-</v>
      </c>
      <c r="L54" s="67">
        <v>0</v>
      </c>
      <c r="M54" s="68">
        <v>0</v>
      </c>
      <c r="N54" s="69">
        <v>0</v>
      </c>
      <c r="O54" s="69">
        <v>0</v>
      </c>
      <c r="P54" s="70">
        <f t="shared" si="101"/>
        <v>0</v>
      </c>
      <c r="Q54" s="70">
        <f t="shared" si="102"/>
        <v>0</v>
      </c>
      <c r="R54" s="71" t="str">
        <f t="shared" si="103"/>
        <v>-</v>
      </c>
      <c r="S54" s="67">
        <v>12</v>
      </c>
      <c r="T54" s="68">
        <v>3</v>
      </c>
      <c r="U54" s="69">
        <v>4</v>
      </c>
      <c r="V54" s="69">
        <v>1</v>
      </c>
      <c r="W54" s="70">
        <f t="shared" si="104"/>
        <v>16</v>
      </c>
      <c r="X54" s="70">
        <f t="shared" si="105"/>
        <v>4</v>
      </c>
      <c r="Y54" s="71">
        <f t="shared" si="106"/>
        <v>0.25</v>
      </c>
      <c r="Z54" s="67">
        <v>0</v>
      </c>
      <c r="AA54" s="68">
        <v>0</v>
      </c>
      <c r="AB54" s="69">
        <v>0</v>
      </c>
      <c r="AC54" s="69">
        <v>0</v>
      </c>
      <c r="AD54" s="70">
        <f t="shared" si="107"/>
        <v>0</v>
      </c>
      <c r="AE54" s="70">
        <f t="shared" si="108"/>
        <v>0</v>
      </c>
      <c r="AF54" s="71" t="str">
        <f t="shared" si="109"/>
        <v>-</v>
      </c>
      <c r="AG54" s="67">
        <v>22</v>
      </c>
      <c r="AH54" s="68">
        <v>3</v>
      </c>
      <c r="AI54" s="69">
        <v>27</v>
      </c>
      <c r="AJ54" s="69">
        <v>3</v>
      </c>
      <c r="AK54" s="70">
        <f t="shared" si="110"/>
        <v>49</v>
      </c>
      <c r="AL54" s="70">
        <f t="shared" si="111"/>
        <v>6</v>
      </c>
      <c r="AM54" s="71">
        <f t="shared" si="112"/>
        <v>0.12244897959183673</v>
      </c>
      <c r="AN54" s="67">
        <v>25</v>
      </c>
      <c r="AO54" s="68">
        <v>4</v>
      </c>
      <c r="AP54" s="69">
        <v>11</v>
      </c>
      <c r="AQ54" s="69">
        <v>3</v>
      </c>
      <c r="AR54" s="70">
        <f t="shared" si="113"/>
        <v>36</v>
      </c>
      <c r="AS54" s="70">
        <f t="shared" si="114"/>
        <v>7</v>
      </c>
      <c r="AT54" s="71">
        <f t="shared" si="115"/>
        <v>0.19444444444444445</v>
      </c>
      <c r="AU54" s="67">
        <v>18</v>
      </c>
      <c r="AV54" s="68">
        <v>2</v>
      </c>
      <c r="AW54" s="69">
        <v>4</v>
      </c>
      <c r="AX54" s="69">
        <v>1</v>
      </c>
      <c r="AY54" s="70">
        <f t="shared" si="116"/>
        <v>22</v>
      </c>
      <c r="AZ54" s="70">
        <f t="shared" si="117"/>
        <v>3</v>
      </c>
      <c r="BA54" s="71">
        <f t="shared" si="118"/>
        <v>0.13636363636363635</v>
      </c>
      <c r="BB54" s="67">
        <v>0</v>
      </c>
      <c r="BC54" s="68">
        <v>0</v>
      </c>
      <c r="BD54" s="69">
        <v>0</v>
      </c>
      <c r="BE54" s="69">
        <v>0</v>
      </c>
      <c r="BF54" s="70">
        <f t="shared" si="119"/>
        <v>0</v>
      </c>
      <c r="BG54" s="70">
        <f t="shared" si="120"/>
        <v>0</v>
      </c>
      <c r="BH54" s="71" t="str">
        <f t="shared" si="121"/>
        <v>-</v>
      </c>
      <c r="BI54" s="67">
        <v>23</v>
      </c>
      <c r="BJ54" s="68">
        <v>5</v>
      </c>
      <c r="BK54" s="69">
        <v>19</v>
      </c>
      <c r="BL54" s="69">
        <v>3</v>
      </c>
      <c r="BM54" s="70">
        <f t="shared" si="122"/>
        <v>42</v>
      </c>
      <c r="BN54" s="70">
        <f t="shared" si="123"/>
        <v>8</v>
      </c>
      <c r="BO54" s="71">
        <f t="shared" si="124"/>
        <v>0.19047619047619047</v>
      </c>
      <c r="BP54" s="67">
        <v>0</v>
      </c>
      <c r="BQ54" s="68">
        <v>0</v>
      </c>
      <c r="BR54" s="69">
        <v>0</v>
      </c>
      <c r="BS54" s="69">
        <v>0</v>
      </c>
      <c r="BT54" s="70">
        <f t="shared" si="125"/>
        <v>0</v>
      </c>
      <c r="BU54" s="70">
        <f t="shared" si="126"/>
        <v>0</v>
      </c>
      <c r="BV54" s="71" t="str">
        <f t="shared" si="127"/>
        <v>-</v>
      </c>
      <c r="BW54" s="67">
        <f t="shared" si="140"/>
        <v>100</v>
      </c>
      <c r="BX54" s="68">
        <f t="shared" si="141"/>
        <v>17</v>
      </c>
      <c r="BY54" s="72">
        <f t="shared" si="142"/>
        <v>0.17</v>
      </c>
      <c r="BZ54" s="73">
        <f t="shared" si="143"/>
        <v>65</v>
      </c>
      <c r="CA54" s="69">
        <f t="shared" si="144"/>
        <v>11</v>
      </c>
      <c r="CB54" s="74">
        <f t="shared" si="145"/>
        <v>0.16923076923076924</v>
      </c>
      <c r="CC54" s="75">
        <f t="shared" si="146"/>
        <v>165</v>
      </c>
      <c r="CD54" s="76">
        <f t="shared" si="147"/>
        <v>28</v>
      </c>
      <c r="CE54" s="84">
        <f t="shared" si="148"/>
        <v>0.16969696969696971</v>
      </c>
      <c r="CF54" s="83">
        <v>0</v>
      </c>
      <c r="CG54" s="78">
        <v>0</v>
      </c>
      <c r="CH54" s="85" t="str">
        <f t="shared" si="149"/>
        <v>-</v>
      </c>
    </row>
    <row r="55" spans="1:89" s="17" customFormat="1" ht="21" customHeight="1" x14ac:dyDescent="0.2">
      <c r="A55" s="103">
        <v>5</v>
      </c>
      <c r="B55" s="104" t="s">
        <v>34</v>
      </c>
      <c r="C55" s="65" t="s">
        <v>15</v>
      </c>
      <c r="D55" s="66" t="s">
        <v>16</v>
      </c>
      <c r="E55" s="67">
        <v>0</v>
      </c>
      <c r="F55" s="68">
        <v>0</v>
      </c>
      <c r="G55" s="69">
        <v>0</v>
      </c>
      <c r="H55" s="69">
        <v>0</v>
      </c>
      <c r="I55" s="70">
        <f t="shared" si="137"/>
        <v>0</v>
      </c>
      <c r="J55" s="70">
        <f t="shared" si="138"/>
        <v>0</v>
      </c>
      <c r="K55" s="71" t="str">
        <f t="shared" si="139"/>
        <v>-</v>
      </c>
      <c r="L55" s="67">
        <v>15</v>
      </c>
      <c r="M55" s="68">
        <v>9</v>
      </c>
      <c r="N55" s="69">
        <v>2</v>
      </c>
      <c r="O55" s="69">
        <v>1</v>
      </c>
      <c r="P55" s="70">
        <f t="shared" si="101"/>
        <v>17</v>
      </c>
      <c r="Q55" s="70">
        <f t="shared" si="102"/>
        <v>10</v>
      </c>
      <c r="R55" s="71">
        <f t="shared" si="103"/>
        <v>0.58823529411764708</v>
      </c>
      <c r="S55" s="67">
        <v>45</v>
      </c>
      <c r="T55" s="68">
        <v>3</v>
      </c>
      <c r="U55" s="69">
        <v>10</v>
      </c>
      <c r="V55" s="69">
        <v>1</v>
      </c>
      <c r="W55" s="70">
        <f t="shared" si="104"/>
        <v>55</v>
      </c>
      <c r="X55" s="70">
        <f t="shared" si="105"/>
        <v>4</v>
      </c>
      <c r="Y55" s="71">
        <f t="shared" si="106"/>
        <v>7.2727272727272724E-2</v>
      </c>
      <c r="Z55" s="67">
        <v>0</v>
      </c>
      <c r="AA55" s="68">
        <v>0</v>
      </c>
      <c r="AB55" s="69">
        <v>0</v>
      </c>
      <c r="AC55" s="69">
        <v>0</v>
      </c>
      <c r="AD55" s="70">
        <f t="shared" si="107"/>
        <v>0</v>
      </c>
      <c r="AE55" s="70">
        <f t="shared" si="108"/>
        <v>0</v>
      </c>
      <c r="AF55" s="71" t="str">
        <f t="shared" si="109"/>
        <v>-</v>
      </c>
      <c r="AG55" s="67">
        <v>0</v>
      </c>
      <c r="AH55" s="68">
        <v>0</v>
      </c>
      <c r="AI55" s="69">
        <v>0</v>
      </c>
      <c r="AJ55" s="69">
        <v>0</v>
      </c>
      <c r="AK55" s="70">
        <f t="shared" si="110"/>
        <v>0</v>
      </c>
      <c r="AL55" s="70">
        <f t="shared" si="111"/>
        <v>0</v>
      </c>
      <c r="AM55" s="71" t="str">
        <f t="shared" si="112"/>
        <v>-</v>
      </c>
      <c r="AN55" s="67">
        <v>40</v>
      </c>
      <c r="AO55" s="68">
        <v>3</v>
      </c>
      <c r="AP55" s="69">
        <v>17</v>
      </c>
      <c r="AQ55" s="69">
        <v>2</v>
      </c>
      <c r="AR55" s="70">
        <f t="shared" si="113"/>
        <v>57</v>
      </c>
      <c r="AS55" s="70">
        <f t="shared" si="114"/>
        <v>5</v>
      </c>
      <c r="AT55" s="71">
        <f t="shared" si="115"/>
        <v>8.771929824561403E-2</v>
      </c>
      <c r="AU55" s="67">
        <v>0</v>
      </c>
      <c r="AV55" s="68">
        <v>0</v>
      </c>
      <c r="AW55" s="69">
        <v>0</v>
      </c>
      <c r="AX55" s="69">
        <v>0</v>
      </c>
      <c r="AY55" s="70">
        <f t="shared" si="116"/>
        <v>0</v>
      </c>
      <c r="AZ55" s="70">
        <f t="shared" si="117"/>
        <v>0</v>
      </c>
      <c r="BA55" s="71" t="str">
        <f t="shared" si="118"/>
        <v>-</v>
      </c>
      <c r="BB55" s="67">
        <v>35</v>
      </c>
      <c r="BC55" s="68">
        <v>10</v>
      </c>
      <c r="BD55" s="69">
        <v>13</v>
      </c>
      <c r="BE55" s="69">
        <v>1</v>
      </c>
      <c r="BF55" s="70">
        <f t="shared" si="119"/>
        <v>48</v>
      </c>
      <c r="BG55" s="70">
        <f t="shared" si="120"/>
        <v>11</v>
      </c>
      <c r="BH55" s="71">
        <f t="shared" si="121"/>
        <v>0.22916666666666666</v>
      </c>
      <c r="BI55" s="67">
        <v>9</v>
      </c>
      <c r="BJ55" s="68">
        <v>2</v>
      </c>
      <c r="BK55" s="69">
        <v>1</v>
      </c>
      <c r="BL55" s="69">
        <v>0</v>
      </c>
      <c r="BM55" s="70">
        <f t="shared" si="122"/>
        <v>10</v>
      </c>
      <c r="BN55" s="70">
        <f t="shared" si="123"/>
        <v>2</v>
      </c>
      <c r="BO55" s="71">
        <f t="shared" si="124"/>
        <v>0.2</v>
      </c>
      <c r="BP55" s="67">
        <v>0</v>
      </c>
      <c r="BQ55" s="68">
        <v>0</v>
      </c>
      <c r="BR55" s="69">
        <v>0</v>
      </c>
      <c r="BS55" s="69">
        <v>0</v>
      </c>
      <c r="BT55" s="70">
        <f t="shared" si="125"/>
        <v>0</v>
      </c>
      <c r="BU55" s="70">
        <f t="shared" si="126"/>
        <v>0</v>
      </c>
      <c r="BV55" s="71" t="str">
        <f t="shared" si="127"/>
        <v>-</v>
      </c>
      <c r="BW55" s="67">
        <f t="shared" si="140"/>
        <v>144</v>
      </c>
      <c r="BX55" s="68">
        <f t="shared" si="141"/>
        <v>27</v>
      </c>
      <c r="BY55" s="72">
        <f t="shared" si="142"/>
        <v>0.1875</v>
      </c>
      <c r="BZ55" s="73">
        <f t="shared" si="143"/>
        <v>43</v>
      </c>
      <c r="CA55" s="69">
        <f t="shared" si="144"/>
        <v>5</v>
      </c>
      <c r="CB55" s="74">
        <f t="shared" si="145"/>
        <v>0.11627906976744186</v>
      </c>
      <c r="CC55" s="75">
        <f t="shared" si="146"/>
        <v>187</v>
      </c>
      <c r="CD55" s="76">
        <f t="shared" si="147"/>
        <v>32</v>
      </c>
      <c r="CE55" s="84">
        <f t="shared" si="148"/>
        <v>0.17112299465240641</v>
      </c>
      <c r="CF55" s="83">
        <v>0</v>
      </c>
      <c r="CG55" s="78">
        <v>0</v>
      </c>
      <c r="CH55" s="85" t="str">
        <f t="shared" ref="CH55:CH56" si="150">IFERROR(CG55/CF55,"-")</f>
        <v>-</v>
      </c>
    </row>
    <row r="56" spans="1:89" s="17" customFormat="1" ht="21" customHeight="1" x14ac:dyDescent="0.2">
      <c r="A56" s="103">
        <v>6</v>
      </c>
      <c r="B56" s="104" t="s">
        <v>42</v>
      </c>
      <c r="C56" s="65" t="s">
        <v>56</v>
      </c>
      <c r="D56" s="66" t="s">
        <v>16</v>
      </c>
      <c r="E56" s="67">
        <v>121</v>
      </c>
      <c r="F56" s="68">
        <v>45</v>
      </c>
      <c r="G56" s="69">
        <v>0</v>
      </c>
      <c r="H56" s="69">
        <v>0</v>
      </c>
      <c r="I56" s="70">
        <f t="shared" si="137"/>
        <v>121</v>
      </c>
      <c r="J56" s="70">
        <f t="shared" si="138"/>
        <v>45</v>
      </c>
      <c r="K56" s="71">
        <f t="shared" si="139"/>
        <v>0.37190082644628097</v>
      </c>
      <c r="L56" s="67">
        <v>180</v>
      </c>
      <c r="M56" s="68">
        <v>43</v>
      </c>
      <c r="N56" s="69">
        <v>0</v>
      </c>
      <c r="O56" s="69">
        <v>0</v>
      </c>
      <c r="P56" s="70">
        <f t="shared" si="101"/>
        <v>180</v>
      </c>
      <c r="Q56" s="70">
        <f t="shared" si="102"/>
        <v>43</v>
      </c>
      <c r="R56" s="71">
        <f t="shared" si="103"/>
        <v>0.2388888888888889</v>
      </c>
      <c r="S56" s="67">
        <v>0</v>
      </c>
      <c r="T56" s="68">
        <v>0</v>
      </c>
      <c r="U56" s="69">
        <v>0</v>
      </c>
      <c r="V56" s="69">
        <v>0</v>
      </c>
      <c r="W56" s="70">
        <f t="shared" si="104"/>
        <v>0</v>
      </c>
      <c r="X56" s="70">
        <f t="shared" si="105"/>
        <v>0</v>
      </c>
      <c r="Y56" s="71" t="str">
        <f t="shared" si="106"/>
        <v>-</v>
      </c>
      <c r="Z56" s="67">
        <v>54</v>
      </c>
      <c r="AA56" s="68">
        <v>19</v>
      </c>
      <c r="AB56" s="69">
        <v>0</v>
      </c>
      <c r="AC56" s="69">
        <v>0</v>
      </c>
      <c r="AD56" s="70">
        <f t="shared" si="107"/>
        <v>54</v>
      </c>
      <c r="AE56" s="70">
        <f t="shared" si="108"/>
        <v>19</v>
      </c>
      <c r="AF56" s="71">
        <f t="shared" si="109"/>
        <v>0.35185185185185186</v>
      </c>
      <c r="AG56" s="67">
        <v>0</v>
      </c>
      <c r="AH56" s="68">
        <v>0</v>
      </c>
      <c r="AI56" s="69">
        <v>0</v>
      </c>
      <c r="AJ56" s="69">
        <v>0</v>
      </c>
      <c r="AK56" s="70">
        <f t="shared" si="110"/>
        <v>0</v>
      </c>
      <c r="AL56" s="70">
        <f t="shared" si="111"/>
        <v>0</v>
      </c>
      <c r="AM56" s="71" t="str">
        <f t="shared" si="112"/>
        <v>-</v>
      </c>
      <c r="AN56" s="67">
        <v>0</v>
      </c>
      <c r="AO56" s="68">
        <v>0</v>
      </c>
      <c r="AP56" s="69">
        <v>0</v>
      </c>
      <c r="AQ56" s="69">
        <v>0</v>
      </c>
      <c r="AR56" s="70">
        <f t="shared" si="113"/>
        <v>0</v>
      </c>
      <c r="AS56" s="70">
        <f t="shared" si="114"/>
        <v>0</v>
      </c>
      <c r="AT56" s="71" t="str">
        <f t="shared" si="115"/>
        <v>-</v>
      </c>
      <c r="AU56" s="67">
        <v>0</v>
      </c>
      <c r="AV56" s="68">
        <v>0</v>
      </c>
      <c r="AW56" s="69">
        <v>0</v>
      </c>
      <c r="AX56" s="69">
        <v>0</v>
      </c>
      <c r="AY56" s="70">
        <f t="shared" si="116"/>
        <v>0</v>
      </c>
      <c r="AZ56" s="70">
        <f t="shared" si="117"/>
        <v>0</v>
      </c>
      <c r="BA56" s="71" t="str">
        <f t="shared" si="118"/>
        <v>-</v>
      </c>
      <c r="BB56" s="67">
        <v>0</v>
      </c>
      <c r="BC56" s="68">
        <v>0</v>
      </c>
      <c r="BD56" s="69">
        <v>0</v>
      </c>
      <c r="BE56" s="69">
        <v>0</v>
      </c>
      <c r="BF56" s="70">
        <f t="shared" si="119"/>
        <v>0</v>
      </c>
      <c r="BG56" s="70">
        <f t="shared" si="120"/>
        <v>0</v>
      </c>
      <c r="BH56" s="71" t="str">
        <f t="shared" si="121"/>
        <v>-</v>
      </c>
      <c r="BI56" s="67">
        <v>0</v>
      </c>
      <c r="BJ56" s="68">
        <v>0</v>
      </c>
      <c r="BK56" s="69">
        <v>0</v>
      </c>
      <c r="BL56" s="69">
        <v>0</v>
      </c>
      <c r="BM56" s="70">
        <f t="shared" si="122"/>
        <v>0</v>
      </c>
      <c r="BN56" s="70">
        <f t="shared" si="123"/>
        <v>0</v>
      </c>
      <c r="BO56" s="71" t="str">
        <f t="shared" si="124"/>
        <v>-</v>
      </c>
      <c r="BP56" s="67">
        <v>0</v>
      </c>
      <c r="BQ56" s="68">
        <v>0</v>
      </c>
      <c r="BR56" s="69">
        <v>0</v>
      </c>
      <c r="BS56" s="69">
        <v>0</v>
      </c>
      <c r="BT56" s="70">
        <f t="shared" si="125"/>
        <v>0</v>
      </c>
      <c r="BU56" s="70">
        <f t="shared" si="126"/>
        <v>0</v>
      </c>
      <c r="BV56" s="71" t="str">
        <f t="shared" si="127"/>
        <v>-</v>
      </c>
      <c r="BW56" s="67">
        <f t="shared" si="140"/>
        <v>355</v>
      </c>
      <c r="BX56" s="68">
        <f t="shared" si="141"/>
        <v>107</v>
      </c>
      <c r="BY56" s="72">
        <f t="shared" si="142"/>
        <v>0.30140845070422534</v>
      </c>
      <c r="BZ56" s="73">
        <f t="shared" si="143"/>
        <v>0</v>
      </c>
      <c r="CA56" s="69">
        <f t="shared" si="144"/>
        <v>0</v>
      </c>
      <c r="CB56" s="74" t="str">
        <f t="shared" si="145"/>
        <v>-</v>
      </c>
      <c r="CC56" s="75">
        <f t="shared" si="146"/>
        <v>355</v>
      </c>
      <c r="CD56" s="76">
        <f t="shared" si="147"/>
        <v>107</v>
      </c>
      <c r="CE56" s="84">
        <f t="shared" si="148"/>
        <v>0.30140845070422534</v>
      </c>
      <c r="CF56" s="83">
        <v>0</v>
      </c>
      <c r="CG56" s="78">
        <v>0</v>
      </c>
      <c r="CH56" s="85" t="str">
        <f t="shared" si="150"/>
        <v>-</v>
      </c>
    </row>
    <row r="57" spans="1:89" s="17" customFormat="1" ht="21" customHeight="1" x14ac:dyDescent="0.2">
      <c r="A57" s="103">
        <v>7</v>
      </c>
      <c r="B57" s="104" t="s">
        <v>43</v>
      </c>
      <c r="C57" s="65" t="s">
        <v>15</v>
      </c>
      <c r="D57" s="66" t="s">
        <v>16</v>
      </c>
      <c r="E57" s="67">
        <v>0</v>
      </c>
      <c r="F57" s="68">
        <v>0</v>
      </c>
      <c r="G57" s="69">
        <v>0</v>
      </c>
      <c r="H57" s="69">
        <v>0</v>
      </c>
      <c r="I57" s="70">
        <f t="shared" si="137"/>
        <v>0</v>
      </c>
      <c r="J57" s="70">
        <f t="shared" si="138"/>
        <v>0</v>
      </c>
      <c r="K57" s="71" t="str">
        <f t="shared" si="139"/>
        <v>-</v>
      </c>
      <c r="L57" s="67">
        <v>33</v>
      </c>
      <c r="M57" s="68">
        <v>13</v>
      </c>
      <c r="N57" s="69">
        <v>0</v>
      </c>
      <c r="O57" s="69">
        <v>0</v>
      </c>
      <c r="P57" s="70">
        <f t="shared" si="101"/>
        <v>33</v>
      </c>
      <c r="Q57" s="70">
        <f t="shared" si="102"/>
        <v>13</v>
      </c>
      <c r="R57" s="71">
        <f t="shared" si="103"/>
        <v>0.39393939393939392</v>
      </c>
      <c r="S57" s="67">
        <v>126</v>
      </c>
      <c r="T57" s="68">
        <v>28</v>
      </c>
      <c r="U57" s="69">
        <v>0</v>
      </c>
      <c r="V57" s="69">
        <v>0</v>
      </c>
      <c r="W57" s="70">
        <f t="shared" si="104"/>
        <v>126</v>
      </c>
      <c r="X57" s="70">
        <f t="shared" si="105"/>
        <v>28</v>
      </c>
      <c r="Y57" s="71">
        <f t="shared" si="106"/>
        <v>0.22222222222222221</v>
      </c>
      <c r="Z57" s="67">
        <v>0</v>
      </c>
      <c r="AA57" s="68">
        <v>0</v>
      </c>
      <c r="AB57" s="69">
        <v>0</v>
      </c>
      <c r="AC57" s="69">
        <v>0</v>
      </c>
      <c r="AD57" s="70">
        <f t="shared" si="107"/>
        <v>0</v>
      </c>
      <c r="AE57" s="70">
        <f t="shared" si="108"/>
        <v>0</v>
      </c>
      <c r="AF57" s="71" t="str">
        <f t="shared" si="109"/>
        <v>-</v>
      </c>
      <c r="AG57" s="67">
        <v>60</v>
      </c>
      <c r="AH57" s="68">
        <v>21</v>
      </c>
      <c r="AI57" s="69">
        <v>0</v>
      </c>
      <c r="AJ57" s="69">
        <v>0</v>
      </c>
      <c r="AK57" s="70">
        <f t="shared" si="110"/>
        <v>60</v>
      </c>
      <c r="AL57" s="70">
        <f t="shared" si="111"/>
        <v>21</v>
      </c>
      <c r="AM57" s="71">
        <f t="shared" si="112"/>
        <v>0.35</v>
      </c>
      <c r="AN57" s="67">
        <v>57</v>
      </c>
      <c r="AO57" s="68">
        <v>18</v>
      </c>
      <c r="AP57" s="69">
        <v>42</v>
      </c>
      <c r="AQ57" s="69">
        <v>20</v>
      </c>
      <c r="AR57" s="70">
        <f t="shared" si="113"/>
        <v>99</v>
      </c>
      <c r="AS57" s="70">
        <f t="shared" si="114"/>
        <v>38</v>
      </c>
      <c r="AT57" s="71">
        <f t="shared" si="115"/>
        <v>0.38383838383838381</v>
      </c>
      <c r="AU57" s="67">
        <v>0</v>
      </c>
      <c r="AV57" s="68">
        <v>0</v>
      </c>
      <c r="AW57" s="69">
        <v>0</v>
      </c>
      <c r="AX57" s="69">
        <v>0</v>
      </c>
      <c r="AY57" s="70">
        <f t="shared" si="116"/>
        <v>0</v>
      </c>
      <c r="AZ57" s="70">
        <f t="shared" si="117"/>
        <v>0</v>
      </c>
      <c r="BA57" s="71" t="str">
        <f t="shared" si="118"/>
        <v>-</v>
      </c>
      <c r="BB57" s="67">
        <v>30</v>
      </c>
      <c r="BC57" s="68">
        <v>8</v>
      </c>
      <c r="BD57" s="69">
        <v>0</v>
      </c>
      <c r="BE57" s="69">
        <v>0</v>
      </c>
      <c r="BF57" s="70">
        <f t="shared" si="119"/>
        <v>30</v>
      </c>
      <c r="BG57" s="70">
        <f t="shared" si="120"/>
        <v>8</v>
      </c>
      <c r="BH57" s="71">
        <f t="shared" si="121"/>
        <v>0.26666666666666666</v>
      </c>
      <c r="BI57" s="67">
        <v>0</v>
      </c>
      <c r="BJ57" s="68">
        <v>0</v>
      </c>
      <c r="BK57" s="69">
        <v>0</v>
      </c>
      <c r="BL57" s="69">
        <v>0</v>
      </c>
      <c r="BM57" s="70">
        <f t="shared" si="122"/>
        <v>0</v>
      </c>
      <c r="BN57" s="70">
        <f t="shared" si="123"/>
        <v>0</v>
      </c>
      <c r="BO57" s="71" t="str">
        <f t="shared" si="124"/>
        <v>-</v>
      </c>
      <c r="BP57" s="67">
        <v>32</v>
      </c>
      <c r="BQ57" s="68">
        <v>10</v>
      </c>
      <c r="BR57" s="69">
        <v>0</v>
      </c>
      <c r="BS57" s="69">
        <v>0</v>
      </c>
      <c r="BT57" s="70">
        <f t="shared" si="125"/>
        <v>32</v>
      </c>
      <c r="BU57" s="70">
        <f t="shared" si="126"/>
        <v>10</v>
      </c>
      <c r="BV57" s="71">
        <f t="shared" si="127"/>
        <v>0.3125</v>
      </c>
      <c r="BW57" s="67">
        <f t="shared" si="140"/>
        <v>338</v>
      </c>
      <c r="BX57" s="68">
        <f t="shared" si="141"/>
        <v>98</v>
      </c>
      <c r="BY57" s="72">
        <f t="shared" si="142"/>
        <v>0.28994082840236685</v>
      </c>
      <c r="BZ57" s="73">
        <f t="shared" si="143"/>
        <v>42</v>
      </c>
      <c r="CA57" s="69">
        <f t="shared" si="144"/>
        <v>20</v>
      </c>
      <c r="CB57" s="74">
        <f t="shared" si="145"/>
        <v>0.47619047619047616</v>
      </c>
      <c r="CC57" s="75">
        <f t="shared" si="146"/>
        <v>380</v>
      </c>
      <c r="CD57" s="76">
        <f t="shared" si="147"/>
        <v>118</v>
      </c>
      <c r="CE57" s="84">
        <f t="shared" si="148"/>
        <v>0.31052631578947371</v>
      </c>
      <c r="CF57" s="83">
        <v>0</v>
      </c>
      <c r="CG57" s="78">
        <v>0</v>
      </c>
      <c r="CH57" s="85" t="str">
        <f t="shared" ref="CH57" si="151">IFERROR(CG57/CF57,"-")</f>
        <v>-</v>
      </c>
    </row>
    <row r="58" spans="1:89" s="17" customFormat="1" ht="21" customHeight="1" x14ac:dyDescent="0.2">
      <c r="A58" s="103">
        <v>8</v>
      </c>
      <c r="B58" s="104" t="s">
        <v>60</v>
      </c>
      <c r="C58" s="65" t="s">
        <v>56</v>
      </c>
      <c r="D58" s="66" t="s">
        <v>16</v>
      </c>
      <c r="E58" s="67">
        <v>0</v>
      </c>
      <c r="F58" s="68">
        <v>0</v>
      </c>
      <c r="G58" s="69">
        <v>0</v>
      </c>
      <c r="H58" s="69">
        <v>0</v>
      </c>
      <c r="I58" s="70">
        <f t="shared" si="137"/>
        <v>0</v>
      </c>
      <c r="J58" s="70">
        <f t="shared" si="138"/>
        <v>0</v>
      </c>
      <c r="K58" s="71" t="str">
        <f t="shared" si="139"/>
        <v>-</v>
      </c>
      <c r="L58" s="67">
        <v>0</v>
      </c>
      <c r="M58" s="68">
        <v>0</v>
      </c>
      <c r="N58" s="69">
        <v>0</v>
      </c>
      <c r="O58" s="69">
        <v>0</v>
      </c>
      <c r="P58" s="70">
        <f t="shared" si="101"/>
        <v>0</v>
      </c>
      <c r="Q58" s="70">
        <f t="shared" si="102"/>
        <v>0</v>
      </c>
      <c r="R58" s="71" t="str">
        <f t="shared" si="103"/>
        <v>-</v>
      </c>
      <c r="S58" s="67">
        <v>0</v>
      </c>
      <c r="T58" s="68">
        <v>0</v>
      </c>
      <c r="U58" s="69">
        <v>0</v>
      </c>
      <c r="V58" s="69">
        <v>0</v>
      </c>
      <c r="W58" s="70">
        <f t="shared" si="104"/>
        <v>0</v>
      </c>
      <c r="X58" s="70">
        <f t="shared" si="105"/>
        <v>0</v>
      </c>
      <c r="Y58" s="71" t="str">
        <f t="shared" si="106"/>
        <v>-</v>
      </c>
      <c r="Z58" s="67">
        <v>0</v>
      </c>
      <c r="AA58" s="68">
        <v>0</v>
      </c>
      <c r="AB58" s="69">
        <v>0</v>
      </c>
      <c r="AC58" s="69">
        <v>0</v>
      </c>
      <c r="AD58" s="70">
        <f t="shared" si="107"/>
        <v>0</v>
      </c>
      <c r="AE58" s="70">
        <f t="shared" si="108"/>
        <v>0</v>
      </c>
      <c r="AF58" s="71" t="str">
        <f t="shared" si="109"/>
        <v>-</v>
      </c>
      <c r="AG58" s="67">
        <v>0</v>
      </c>
      <c r="AH58" s="68">
        <v>0</v>
      </c>
      <c r="AI58" s="69">
        <v>0</v>
      </c>
      <c r="AJ58" s="69">
        <v>0</v>
      </c>
      <c r="AK58" s="70">
        <f t="shared" si="110"/>
        <v>0</v>
      </c>
      <c r="AL58" s="70">
        <f t="shared" si="111"/>
        <v>0</v>
      </c>
      <c r="AM58" s="71" t="str">
        <f t="shared" si="112"/>
        <v>-</v>
      </c>
      <c r="AN58" s="67">
        <v>0</v>
      </c>
      <c r="AO58" s="68">
        <v>0</v>
      </c>
      <c r="AP58" s="69">
        <v>0</v>
      </c>
      <c r="AQ58" s="69">
        <v>0</v>
      </c>
      <c r="AR58" s="70">
        <f t="shared" si="113"/>
        <v>0</v>
      </c>
      <c r="AS58" s="70">
        <f t="shared" si="114"/>
        <v>0</v>
      </c>
      <c r="AT58" s="71" t="str">
        <f t="shared" si="115"/>
        <v>-</v>
      </c>
      <c r="AU58" s="67">
        <v>231</v>
      </c>
      <c r="AV58" s="68">
        <v>137</v>
      </c>
      <c r="AW58" s="69">
        <v>0</v>
      </c>
      <c r="AX58" s="69">
        <v>0</v>
      </c>
      <c r="AY58" s="70">
        <f t="shared" si="116"/>
        <v>231</v>
      </c>
      <c r="AZ58" s="70">
        <f t="shared" si="117"/>
        <v>137</v>
      </c>
      <c r="BA58" s="71">
        <f t="shared" si="118"/>
        <v>0.59307359307359309</v>
      </c>
      <c r="BB58" s="67">
        <v>0</v>
      </c>
      <c r="BC58" s="68">
        <v>0</v>
      </c>
      <c r="BD58" s="69">
        <v>0</v>
      </c>
      <c r="BE58" s="69">
        <v>0</v>
      </c>
      <c r="BF58" s="70">
        <f t="shared" si="119"/>
        <v>0</v>
      </c>
      <c r="BG58" s="70">
        <f t="shared" si="120"/>
        <v>0</v>
      </c>
      <c r="BH58" s="71" t="str">
        <f t="shared" si="121"/>
        <v>-</v>
      </c>
      <c r="BI58" s="67">
        <v>0</v>
      </c>
      <c r="BJ58" s="68">
        <v>0</v>
      </c>
      <c r="BK58" s="69">
        <v>0</v>
      </c>
      <c r="BL58" s="69">
        <v>0</v>
      </c>
      <c r="BM58" s="70">
        <f t="shared" si="122"/>
        <v>0</v>
      </c>
      <c r="BN58" s="70">
        <f t="shared" si="123"/>
        <v>0</v>
      </c>
      <c r="BO58" s="71" t="str">
        <f t="shared" si="124"/>
        <v>-</v>
      </c>
      <c r="BP58" s="67">
        <v>0</v>
      </c>
      <c r="BQ58" s="68">
        <v>0</v>
      </c>
      <c r="BR58" s="69">
        <v>0</v>
      </c>
      <c r="BS58" s="69">
        <v>0</v>
      </c>
      <c r="BT58" s="70">
        <f t="shared" si="125"/>
        <v>0</v>
      </c>
      <c r="BU58" s="70">
        <f t="shared" si="126"/>
        <v>0</v>
      </c>
      <c r="BV58" s="71" t="str">
        <f t="shared" si="127"/>
        <v>-</v>
      </c>
      <c r="BW58" s="67">
        <f t="shared" si="140"/>
        <v>231</v>
      </c>
      <c r="BX58" s="68">
        <f t="shared" si="141"/>
        <v>137</v>
      </c>
      <c r="BY58" s="72">
        <f t="shared" si="142"/>
        <v>0.59307359307359309</v>
      </c>
      <c r="BZ58" s="73">
        <f t="shared" si="143"/>
        <v>0</v>
      </c>
      <c r="CA58" s="69">
        <f t="shared" si="144"/>
        <v>0</v>
      </c>
      <c r="CB58" s="74" t="str">
        <f t="shared" si="145"/>
        <v>-</v>
      </c>
      <c r="CC58" s="75">
        <f t="shared" si="146"/>
        <v>231</v>
      </c>
      <c r="CD58" s="76">
        <f t="shared" si="147"/>
        <v>137</v>
      </c>
      <c r="CE58" s="84">
        <f t="shared" si="148"/>
        <v>0.59307359307359309</v>
      </c>
      <c r="CF58" s="83">
        <v>0</v>
      </c>
      <c r="CG58" s="78">
        <v>0</v>
      </c>
      <c r="CH58" s="85" t="str">
        <f t="shared" ref="CH58:CH63" si="152">IFERROR(CG58/CF58,"-")</f>
        <v>-</v>
      </c>
    </row>
    <row r="59" spans="1:89" s="17" customFormat="1" ht="21" customHeight="1" x14ac:dyDescent="0.2">
      <c r="A59" s="103">
        <v>9</v>
      </c>
      <c r="B59" s="104" t="s">
        <v>52</v>
      </c>
      <c r="C59" s="65" t="s">
        <v>15</v>
      </c>
      <c r="D59" s="66" t="s">
        <v>16</v>
      </c>
      <c r="E59" s="67">
        <v>0</v>
      </c>
      <c r="F59" s="68">
        <v>0</v>
      </c>
      <c r="G59" s="69">
        <v>0</v>
      </c>
      <c r="H59" s="69">
        <v>0</v>
      </c>
      <c r="I59" s="70">
        <f t="shared" si="137"/>
        <v>0</v>
      </c>
      <c r="J59" s="70">
        <f t="shared" si="138"/>
        <v>0</v>
      </c>
      <c r="K59" s="71" t="str">
        <f t="shared" si="139"/>
        <v>-</v>
      </c>
      <c r="L59" s="67">
        <v>0</v>
      </c>
      <c r="M59" s="68">
        <v>0</v>
      </c>
      <c r="N59" s="69">
        <v>0</v>
      </c>
      <c r="O59" s="69">
        <v>0</v>
      </c>
      <c r="P59" s="70">
        <f t="shared" si="101"/>
        <v>0</v>
      </c>
      <c r="Q59" s="70">
        <f t="shared" si="102"/>
        <v>0</v>
      </c>
      <c r="R59" s="71" t="str">
        <f t="shared" si="103"/>
        <v>-</v>
      </c>
      <c r="S59" s="67">
        <v>0</v>
      </c>
      <c r="T59" s="68">
        <v>0</v>
      </c>
      <c r="U59" s="69">
        <v>0</v>
      </c>
      <c r="V59" s="69">
        <v>0</v>
      </c>
      <c r="W59" s="70">
        <f t="shared" si="104"/>
        <v>0</v>
      </c>
      <c r="X59" s="70">
        <f t="shared" si="105"/>
        <v>0</v>
      </c>
      <c r="Y59" s="71" t="str">
        <f t="shared" si="106"/>
        <v>-</v>
      </c>
      <c r="Z59" s="67">
        <v>0</v>
      </c>
      <c r="AA59" s="68">
        <v>0</v>
      </c>
      <c r="AB59" s="69">
        <v>0</v>
      </c>
      <c r="AC59" s="69">
        <v>0</v>
      </c>
      <c r="AD59" s="70">
        <f t="shared" si="107"/>
        <v>0</v>
      </c>
      <c r="AE59" s="70">
        <f t="shared" si="108"/>
        <v>0</v>
      </c>
      <c r="AF59" s="71" t="str">
        <f t="shared" si="109"/>
        <v>-</v>
      </c>
      <c r="AG59" s="67">
        <v>0</v>
      </c>
      <c r="AH59" s="68">
        <v>0</v>
      </c>
      <c r="AI59" s="69">
        <v>0</v>
      </c>
      <c r="AJ59" s="69">
        <v>0</v>
      </c>
      <c r="AK59" s="70">
        <f t="shared" si="110"/>
        <v>0</v>
      </c>
      <c r="AL59" s="70">
        <f t="shared" si="111"/>
        <v>0</v>
      </c>
      <c r="AM59" s="71" t="str">
        <f t="shared" si="112"/>
        <v>-</v>
      </c>
      <c r="AN59" s="67">
        <v>35</v>
      </c>
      <c r="AO59" s="68">
        <v>2</v>
      </c>
      <c r="AP59" s="69">
        <v>36</v>
      </c>
      <c r="AQ59" s="69">
        <v>8</v>
      </c>
      <c r="AR59" s="70">
        <f t="shared" si="113"/>
        <v>71</v>
      </c>
      <c r="AS59" s="70">
        <f t="shared" si="114"/>
        <v>10</v>
      </c>
      <c r="AT59" s="71">
        <f t="shared" si="115"/>
        <v>0.14084507042253522</v>
      </c>
      <c r="AU59" s="67">
        <v>0</v>
      </c>
      <c r="AV59" s="68">
        <v>0</v>
      </c>
      <c r="AW59" s="69">
        <v>0</v>
      </c>
      <c r="AX59" s="69">
        <v>0</v>
      </c>
      <c r="AY59" s="70">
        <f t="shared" si="116"/>
        <v>0</v>
      </c>
      <c r="AZ59" s="70">
        <f t="shared" si="117"/>
        <v>0</v>
      </c>
      <c r="BA59" s="71" t="str">
        <f t="shared" si="118"/>
        <v>-</v>
      </c>
      <c r="BB59" s="67">
        <v>0</v>
      </c>
      <c r="BC59" s="68">
        <v>0</v>
      </c>
      <c r="BD59" s="69">
        <v>0</v>
      </c>
      <c r="BE59" s="69">
        <v>0</v>
      </c>
      <c r="BF59" s="70">
        <f t="shared" si="119"/>
        <v>0</v>
      </c>
      <c r="BG59" s="70">
        <f t="shared" si="120"/>
        <v>0</v>
      </c>
      <c r="BH59" s="71" t="str">
        <f t="shared" si="121"/>
        <v>-</v>
      </c>
      <c r="BI59" s="67">
        <v>0</v>
      </c>
      <c r="BJ59" s="68">
        <v>0</v>
      </c>
      <c r="BK59" s="69">
        <v>0</v>
      </c>
      <c r="BL59" s="69">
        <v>0</v>
      </c>
      <c r="BM59" s="70">
        <f t="shared" si="122"/>
        <v>0</v>
      </c>
      <c r="BN59" s="70">
        <f t="shared" si="123"/>
        <v>0</v>
      </c>
      <c r="BO59" s="71" t="str">
        <f t="shared" si="124"/>
        <v>-</v>
      </c>
      <c r="BP59" s="67">
        <v>0</v>
      </c>
      <c r="BQ59" s="68">
        <v>0</v>
      </c>
      <c r="BR59" s="69">
        <v>0</v>
      </c>
      <c r="BS59" s="69">
        <v>0</v>
      </c>
      <c r="BT59" s="70">
        <f t="shared" si="125"/>
        <v>0</v>
      </c>
      <c r="BU59" s="70">
        <f t="shared" si="126"/>
        <v>0</v>
      </c>
      <c r="BV59" s="71" t="str">
        <f t="shared" si="127"/>
        <v>-</v>
      </c>
      <c r="BW59" s="67">
        <f t="shared" si="140"/>
        <v>35</v>
      </c>
      <c r="BX59" s="68">
        <f t="shared" si="141"/>
        <v>2</v>
      </c>
      <c r="BY59" s="72">
        <f t="shared" si="142"/>
        <v>5.7142857142857141E-2</v>
      </c>
      <c r="BZ59" s="73">
        <f t="shared" si="143"/>
        <v>36</v>
      </c>
      <c r="CA59" s="69">
        <f t="shared" si="144"/>
        <v>8</v>
      </c>
      <c r="CB59" s="74">
        <f t="shared" si="145"/>
        <v>0.22222222222222221</v>
      </c>
      <c r="CC59" s="75">
        <f t="shared" si="146"/>
        <v>71</v>
      </c>
      <c r="CD59" s="76">
        <f t="shared" si="147"/>
        <v>10</v>
      </c>
      <c r="CE59" s="84">
        <f t="shared" si="148"/>
        <v>0.14084507042253522</v>
      </c>
      <c r="CF59" s="83">
        <v>0</v>
      </c>
      <c r="CG59" s="78">
        <v>0</v>
      </c>
      <c r="CH59" s="85" t="str">
        <f t="shared" si="152"/>
        <v>-</v>
      </c>
    </row>
    <row r="60" spans="1:89" s="17" customFormat="1" ht="21" customHeight="1" x14ac:dyDescent="0.2">
      <c r="A60" s="103">
        <v>10</v>
      </c>
      <c r="B60" s="104" t="s">
        <v>20</v>
      </c>
      <c r="C60" s="65" t="s">
        <v>15</v>
      </c>
      <c r="D60" s="66" t="s">
        <v>16</v>
      </c>
      <c r="E60" s="67">
        <v>0</v>
      </c>
      <c r="F60" s="68">
        <v>0</v>
      </c>
      <c r="G60" s="69">
        <v>0</v>
      </c>
      <c r="H60" s="69">
        <v>0</v>
      </c>
      <c r="I60" s="70">
        <f t="shared" si="137"/>
        <v>0</v>
      </c>
      <c r="J60" s="70">
        <f t="shared" si="138"/>
        <v>0</v>
      </c>
      <c r="K60" s="71" t="str">
        <f t="shared" si="139"/>
        <v>-</v>
      </c>
      <c r="L60" s="67">
        <v>0</v>
      </c>
      <c r="M60" s="68">
        <v>0</v>
      </c>
      <c r="N60" s="69">
        <v>0</v>
      </c>
      <c r="O60" s="69">
        <v>0</v>
      </c>
      <c r="P60" s="70">
        <f t="shared" si="101"/>
        <v>0</v>
      </c>
      <c r="Q60" s="70">
        <f t="shared" si="102"/>
        <v>0</v>
      </c>
      <c r="R60" s="71" t="str">
        <f t="shared" si="103"/>
        <v>-</v>
      </c>
      <c r="S60" s="67">
        <v>20</v>
      </c>
      <c r="T60" s="68">
        <v>7</v>
      </c>
      <c r="U60" s="69">
        <v>20</v>
      </c>
      <c r="V60" s="69">
        <v>12</v>
      </c>
      <c r="W60" s="70">
        <f t="shared" si="104"/>
        <v>40</v>
      </c>
      <c r="X60" s="70">
        <f t="shared" si="105"/>
        <v>19</v>
      </c>
      <c r="Y60" s="71">
        <f t="shared" si="106"/>
        <v>0.47499999999999998</v>
      </c>
      <c r="Z60" s="67">
        <v>0</v>
      </c>
      <c r="AA60" s="68">
        <v>0</v>
      </c>
      <c r="AB60" s="69">
        <v>0</v>
      </c>
      <c r="AC60" s="69">
        <v>0</v>
      </c>
      <c r="AD60" s="70">
        <f t="shared" si="107"/>
        <v>0</v>
      </c>
      <c r="AE60" s="70">
        <f t="shared" si="108"/>
        <v>0</v>
      </c>
      <c r="AF60" s="71" t="str">
        <f t="shared" si="109"/>
        <v>-</v>
      </c>
      <c r="AG60" s="67">
        <v>6</v>
      </c>
      <c r="AH60" s="68">
        <v>4</v>
      </c>
      <c r="AI60" s="69">
        <v>34</v>
      </c>
      <c r="AJ60" s="69">
        <v>24</v>
      </c>
      <c r="AK60" s="70">
        <f t="shared" si="110"/>
        <v>40</v>
      </c>
      <c r="AL60" s="70">
        <f t="shared" si="111"/>
        <v>28</v>
      </c>
      <c r="AM60" s="71">
        <f t="shared" si="112"/>
        <v>0.7</v>
      </c>
      <c r="AN60" s="67">
        <v>12</v>
      </c>
      <c r="AO60" s="68">
        <v>9</v>
      </c>
      <c r="AP60" s="69">
        <v>217</v>
      </c>
      <c r="AQ60" s="69">
        <v>110</v>
      </c>
      <c r="AR60" s="70">
        <f t="shared" si="113"/>
        <v>229</v>
      </c>
      <c r="AS60" s="70">
        <f t="shared" si="114"/>
        <v>119</v>
      </c>
      <c r="AT60" s="71">
        <f t="shared" si="115"/>
        <v>0.51965065502183405</v>
      </c>
      <c r="AU60" s="67">
        <v>9</v>
      </c>
      <c r="AV60" s="68">
        <v>5</v>
      </c>
      <c r="AW60" s="69">
        <v>51</v>
      </c>
      <c r="AX60" s="69">
        <v>32</v>
      </c>
      <c r="AY60" s="70">
        <f t="shared" si="116"/>
        <v>60</v>
      </c>
      <c r="AZ60" s="70">
        <f t="shared" si="117"/>
        <v>37</v>
      </c>
      <c r="BA60" s="71">
        <f t="shared" si="118"/>
        <v>0.6166666666666667</v>
      </c>
      <c r="BB60" s="67">
        <v>8</v>
      </c>
      <c r="BC60" s="68">
        <v>4</v>
      </c>
      <c r="BD60" s="69">
        <v>55</v>
      </c>
      <c r="BE60" s="69">
        <v>30</v>
      </c>
      <c r="BF60" s="70">
        <f t="shared" si="119"/>
        <v>63</v>
      </c>
      <c r="BG60" s="70">
        <f t="shared" si="120"/>
        <v>34</v>
      </c>
      <c r="BH60" s="71">
        <f t="shared" si="121"/>
        <v>0.53968253968253965</v>
      </c>
      <c r="BI60" s="67">
        <v>0</v>
      </c>
      <c r="BJ60" s="68">
        <v>0</v>
      </c>
      <c r="BK60" s="69">
        <v>0</v>
      </c>
      <c r="BL60" s="69">
        <v>0</v>
      </c>
      <c r="BM60" s="70">
        <f t="shared" si="122"/>
        <v>0</v>
      </c>
      <c r="BN60" s="70">
        <f t="shared" si="123"/>
        <v>0</v>
      </c>
      <c r="BO60" s="71" t="str">
        <f t="shared" si="124"/>
        <v>-</v>
      </c>
      <c r="BP60" s="67">
        <v>11</v>
      </c>
      <c r="BQ60" s="68">
        <v>5</v>
      </c>
      <c r="BR60" s="69">
        <v>43</v>
      </c>
      <c r="BS60" s="69">
        <v>33</v>
      </c>
      <c r="BT60" s="70">
        <f t="shared" si="125"/>
        <v>54</v>
      </c>
      <c r="BU60" s="70">
        <f t="shared" si="126"/>
        <v>38</v>
      </c>
      <c r="BV60" s="71">
        <f t="shared" si="127"/>
        <v>0.70370370370370372</v>
      </c>
      <c r="BW60" s="67">
        <f t="shared" si="140"/>
        <v>66</v>
      </c>
      <c r="BX60" s="68">
        <f t="shared" si="141"/>
        <v>34</v>
      </c>
      <c r="BY60" s="72">
        <f t="shared" si="142"/>
        <v>0.51515151515151514</v>
      </c>
      <c r="BZ60" s="73">
        <f t="shared" si="143"/>
        <v>420</v>
      </c>
      <c r="CA60" s="69">
        <f t="shared" si="144"/>
        <v>241</v>
      </c>
      <c r="CB60" s="74">
        <f t="shared" si="145"/>
        <v>0.57380952380952377</v>
      </c>
      <c r="CC60" s="75">
        <f t="shared" si="146"/>
        <v>486</v>
      </c>
      <c r="CD60" s="76">
        <f t="shared" si="147"/>
        <v>275</v>
      </c>
      <c r="CE60" s="84">
        <f t="shared" si="148"/>
        <v>0.56584362139917699</v>
      </c>
      <c r="CF60" s="83">
        <v>0</v>
      </c>
      <c r="CG60" s="78">
        <v>0</v>
      </c>
      <c r="CH60" s="85" t="str">
        <f t="shared" si="152"/>
        <v>-</v>
      </c>
    </row>
    <row r="61" spans="1:89" s="17" customFormat="1" ht="21" customHeight="1" x14ac:dyDescent="0.2">
      <c r="A61" s="103">
        <v>11</v>
      </c>
      <c r="B61" s="104" t="s">
        <v>4</v>
      </c>
      <c r="C61" s="65" t="s">
        <v>15</v>
      </c>
      <c r="D61" s="66" t="s">
        <v>16</v>
      </c>
      <c r="E61" s="67">
        <v>0</v>
      </c>
      <c r="F61" s="68">
        <v>0</v>
      </c>
      <c r="G61" s="69">
        <v>0</v>
      </c>
      <c r="H61" s="69">
        <v>0</v>
      </c>
      <c r="I61" s="70">
        <f t="shared" si="137"/>
        <v>0</v>
      </c>
      <c r="J61" s="70">
        <f t="shared" si="138"/>
        <v>0</v>
      </c>
      <c r="K61" s="71" t="str">
        <f t="shared" si="139"/>
        <v>-</v>
      </c>
      <c r="L61" s="67">
        <v>0</v>
      </c>
      <c r="M61" s="68">
        <v>0</v>
      </c>
      <c r="N61" s="69">
        <v>0</v>
      </c>
      <c r="O61" s="69">
        <v>0</v>
      </c>
      <c r="P61" s="70">
        <f t="shared" si="101"/>
        <v>0</v>
      </c>
      <c r="Q61" s="70">
        <f t="shared" si="102"/>
        <v>0</v>
      </c>
      <c r="R61" s="71" t="str">
        <f t="shared" si="103"/>
        <v>-</v>
      </c>
      <c r="S61" s="67">
        <v>34</v>
      </c>
      <c r="T61" s="68">
        <v>4</v>
      </c>
      <c r="U61" s="69">
        <v>7</v>
      </c>
      <c r="V61" s="69">
        <v>1</v>
      </c>
      <c r="W61" s="70">
        <f t="shared" si="104"/>
        <v>41</v>
      </c>
      <c r="X61" s="70">
        <f t="shared" si="105"/>
        <v>5</v>
      </c>
      <c r="Y61" s="71">
        <f t="shared" si="106"/>
        <v>0.12195121951219512</v>
      </c>
      <c r="Z61" s="67">
        <v>0</v>
      </c>
      <c r="AA61" s="68">
        <v>0</v>
      </c>
      <c r="AB61" s="69">
        <v>0</v>
      </c>
      <c r="AC61" s="69">
        <v>0</v>
      </c>
      <c r="AD61" s="70">
        <f t="shared" si="107"/>
        <v>0</v>
      </c>
      <c r="AE61" s="70">
        <f t="shared" si="108"/>
        <v>0</v>
      </c>
      <c r="AF61" s="71" t="str">
        <f t="shared" si="109"/>
        <v>-</v>
      </c>
      <c r="AG61" s="67">
        <v>27</v>
      </c>
      <c r="AH61" s="68">
        <v>4</v>
      </c>
      <c r="AI61" s="69">
        <v>30</v>
      </c>
      <c r="AJ61" s="69">
        <v>12</v>
      </c>
      <c r="AK61" s="70">
        <f t="shared" si="110"/>
        <v>57</v>
      </c>
      <c r="AL61" s="70">
        <f t="shared" si="111"/>
        <v>16</v>
      </c>
      <c r="AM61" s="71">
        <f t="shared" si="112"/>
        <v>0.2807017543859649</v>
      </c>
      <c r="AN61" s="67">
        <v>21</v>
      </c>
      <c r="AO61" s="68">
        <v>7</v>
      </c>
      <c r="AP61" s="69">
        <v>41</v>
      </c>
      <c r="AQ61" s="69">
        <v>12</v>
      </c>
      <c r="AR61" s="70">
        <f t="shared" si="113"/>
        <v>62</v>
      </c>
      <c r="AS61" s="70">
        <f t="shared" si="114"/>
        <v>19</v>
      </c>
      <c r="AT61" s="71">
        <f t="shared" si="115"/>
        <v>0.30645161290322581</v>
      </c>
      <c r="AU61" s="67">
        <v>21</v>
      </c>
      <c r="AV61" s="68">
        <v>11</v>
      </c>
      <c r="AW61" s="69">
        <v>5</v>
      </c>
      <c r="AX61" s="69">
        <v>3</v>
      </c>
      <c r="AY61" s="70">
        <f t="shared" si="116"/>
        <v>26</v>
      </c>
      <c r="AZ61" s="70">
        <f t="shared" si="117"/>
        <v>14</v>
      </c>
      <c r="BA61" s="71">
        <f t="shared" si="118"/>
        <v>0.53846153846153844</v>
      </c>
      <c r="BB61" s="67">
        <v>0</v>
      </c>
      <c r="BC61" s="68">
        <v>0</v>
      </c>
      <c r="BD61" s="69">
        <v>0</v>
      </c>
      <c r="BE61" s="69">
        <v>0</v>
      </c>
      <c r="BF61" s="70">
        <f t="shared" si="119"/>
        <v>0</v>
      </c>
      <c r="BG61" s="70">
        <f t="shared" si="120"/>
        <v>0</v>
      </c>
      <c r="BH61" s="71" t="str">
        <f t="shared" si="121"/>
        <v>-</v>
      </c>
      <c r="BI61" s="67">
        <v>0</v>
      </c>
      <c r="BJ61" s="68">
        <v>0</v>
      </c>
      <c r="BK61" s="69">
        <v>0</v>
      </c>
      <c r="BL61" s="69">
        <v>0</v>
      </c>
      <c r="BM61" s="70">
        <f t="shared" si="122"/>
        <v>0</v>
      </c>
      <c r="BN61" s="70">
        <f t="shared" si="123"/>
        <v>0</v>
      </c>
      <c r="BO61" s="71" t="str">
        <f t="shared" si="124"/>
        <v>-</v>
      </c>
      <c r="BP61" s="67">
        <v>33</v>
      </c>
      <c r="BQ61" s="68">
        <v>12</v>
      </c>
      <c r="BR61" s="69">
        <v>16</v>
      </c>
      <c r="BS61" s="69">
        <v>2</v>
      </c>
      <c r="BT61" s="70">
        <f t="shared" si="125"/>
        <v>49</v>
      </c>
      <c r="BU61" s="70">
        <f t="shared" si="126"/>
        <v>14</v>
      </c>
      <c r="BV61" s="71">
        <f t="shared" si="127"/>
        <v>0.2857142857142857</v>
      </c>
      <c r="BW61" s="67">
        <f t="shared" si="140"/>
        <v>136</v>
      </c>
      <c r="BX61" s="68">
        <f t="shared" si="141"/>
        <v>38</v>
      </c>
      <c r="BY61" s="72">
        <f t="shared" si="142"/>
        <v>0.27941176470588236</v>
      </c>
      <c r="BZ61" s="73">
        <f t="shared" si="143"/>
        <v>99</v>
      </c>
      <c r="CA61" s="69">
        <f t="shared" si="144"/>
        <v>30</v>
      </c>
      <c r="CB61" s="74">
        <f t="shared" si="145"/>
        <v>0.30303030303030304</v>
      </c>
      <c r="CC61" s="75">
        <f t="shared" si="146"/>
        <v>235</v>
      </c>
      <c r="CD61" s="76">
        <f t="shared" si="147"/>
        <v>68</v>
      </c>
      <c r="CE61" s="84">
        <f t="shared" si="148"/>
        <v>0.28936170212765955</v>
      </c>
      <c r="CF61" s="83">
        <v>0</v>
      </c>
      <c r="CG61" s="78">
        <v>0</v>
      </c>
      <c r="CH61" s="85" t="str">
        <f t="shared" si="152"/>
        <v>-</v>
      </c>
    </row>
    <row r="62" spans="1:89" s="17" customFormat="1" ht="21" customHeight="1" x14ac:dyDescent="0.2">
      <c r="A62" s="103">
        <v>12</v>
      </c>
      <c r="B62" s="104" t="s">
        <v>5</v>
      </c>
      <c r="C62" s="65" t="s">
        <v>15</v>
      </c>
      <c r="D62" s="66" t="s">
        <v>16</v>
      </c>
      <c r="E62" s="67">
        <v>48</v>
      </c>
      <c r="F62" s="68">
        <v>7</v>
      </c>
      <c r="G62" s="69">
        <v>0</v>
      </c>
      <c r="H62" s="69">
        <v>0</v>
      </c>
      <c r="I62" s="70">
        <f t="shared" si="137"/>
        <v>48</v>
      </c>
      <c r="J62" s="70">
        <f t="shared" si="138"/>
        <v>7</v>
      </c>
      <c r="K62" s="71">
        <f t="shared" si="139"/>
        <v>0.14583333333333334</v>
      </c>
      <c r="L62" s="67">
        <v>25</v>
      </c>
      <c r="M62" s="68">
        <v>2</v>
      </c>
      <c r="N62" s="69">
        <v>0</v>
      </c>
      <c r="O62" s="69">
        <v>0</v>
      </c>
      <c r="P62" s="70">
        <f t="shared" si="101"/>
        <v>25</v>
      </c>
      <c r="Q62" s="70">
        <f t="shared" si="102"/>
        <v>2</v>
      </c>
      <c r="R62" s="71">
        <f t="shared" si="103"/>
        <v>0.08</v>
      </c>
      <c r="S62" s="67">
        <v>32</v>
      </c>
      <c r="T62" s="68">
        <v>5</v>
      </c>
      <c r="U62" s="69">
        <v>20</v>
      </c>
      <c r="V62" s="69">
        <v>3</v>
      </c>
      <c r="W62" s="70">
        <f t="shared" si="104"/>
        <v>52</v>
      </c>
      <c r="X62" s="70">
        <f t="shared" si="105"/>
        <v>8</v>
      </c>
      <c r="Y62" s="71">
        <f t="shared" si="106"/>
        <v>0.15384615384615385</v>
      </c>
      <c r="Z62" s="67">
        <v>0</v>
      </c>
      <c r="AA62" s="68">
        <v>0</v>
      </c>
      <c r="AB62" s="69">
        <v>0</v>
      </c>
      <c r="AC62" s="69">
        <v>0</v>
      </c>
      <c r="AD62" s="70">
        <f t="shared" si="107"/>
        <v>0</v>
      </c>
      <c r="AE62" s="70">
        <f t="shared" si="108"/>
        <v>0</v>
      </c>
      <c r="AF62" s="71" t="str">
        <f t="shared" si="109"/>
        <v>-</v>
      </c>
      <c r="AG62" s="67">
        <v>36</v>
      </c>
      <c r="AH62" s="68">
        <v>6</v>
      </c>
      <c r="AI62" s="69">
        <v>31</v>
      </c>
      <c r="AJ62" s="69">
        <v>5</v>
      </c>
      <c r="AK62" s="70">
        <f t="shared" si="110"/>
        <v>67</v>
      </c>
      <c r="AL62" s="70">
        <f t="shared" si="111"/>
        <v>11</v>
      </c>
      <c r="AM62" s="71">
        <f t="shared" si="112"/>
        <v>0.16417910447761194</v>
      </c>
      <c r="AN62" s="67">
        <v>0</v>
      </c>
      <c r="AO62" s="68">
        <v>0</v>
      </c>
      <c r="AP62" s="69">
        <v>62</v>
      </c>
      <c r="AQ62" s="69">
        <v>20</v>
      </c>
      <c r="AR62" s="70">
        <f t="shared" si="113"/>
        <v>62</v>
      </c>
      <c r="AS62" s="70">
        <f t="shared" si="114"/>
        <v>20</v>
      </c>
      <c r="AT62" s="71">
        <f t="shared" si="115"/>
        <v>0.32258064516129031</v>
      </c>
      <c r="AU62" s="67">
        <v>45</v>
      </c>
      <c r="AV62" s="68">
        <v>13</v>
      </c>
      <c r="AW62" s="69">
        <v>0</v>
      </c>
      <c r="AX62" s="69">
        <v>0</v>
      </c>
      <c r="AY62" s="70">
        <f t="shared" si="116"/>
        <v>45</v>
      </c>
      <c r="AZ62" s="70">
        <f t="shared" si="117"/>
        <v>13</v>
      </c>
      <c r="BA62" s="71">
        <f t="shared" si="118"/>
        <v>0.28888888888888886</v>
      </c>
      <c r="BB62" s="67">
        <v>0</v>
      </c>
      <c r="BC62" s="68">
        <v>0</v>
      </c>
      <c r="BD62" s="69">
        <v>0</v>
      </c>
      <c r="BE62" s="69">
        <v>0</v>
      </c>
      <c r="BF62" s="70">
        <f t="shared" si="119"/>
        <v>0</v>
      </c>
      <c r="BG62" s="70">
        <f t="shared" si="120"/>
        <v>0</v>
      </c>
      <c r="BH62" s="71" t="str">
        <f t="shared" si="121"/>
        <v>-</v>
      </c>
      <c r="BI62" s="67">
        <v>0</v>
      </c>
      <c r="BJ62" s="68">
        <v>0</v>
      </c>
      <c r="BK62" s="69">
        <v>0</v>
      </c>
      <c r="BL62" s="69">
        <v>0</v>
      </c>
      <c r="BM62" s="70">
        <f t="shared" si="122"/>
        <v>0</v>
      </c>
      <c r="BN62" s="70">
        <f t="shared" si="123"/>
        <v>0</v>
      </c>
      <c r="BO62" s="71" t="str">
        <f t="shared" si="124"/>
        <v>-</v>
      </c>
      <c r="BP62" s="67">
        <v>32</v>
      </c>
      <c r="BQ62" s="68">
        <v>4</v>
      </c>
      <c r="BR62" s="69">
        <v>34</v>
      </c>
      <c r="BS62" s="69">
        <v>4</v>
      </c>
      <c r="BT62" s="70">
        <f t="shared" si="125"/>
        <v>66</v>
      </c>
      <c r="BU62" s="70">
        <f t="shared" si="126"/>
        <v>8</v>
      </c>
      <c r="BV62" s="71">
        <f t="shared" si="127"/>
        <v>0.12121212121212122</v>
      </c>
      <c r="BW62" s="67">
        <f t="shared" si="140"/>
        <v>218</v>
      </c>
      <c r="BX62" s="68">
        <f t="shared" si="141"/>
        <v>37</v>
      </c>
      <c r="BY62" s="72">
        <f t="shared" si="142"/>
        <v>0.16972477064220184</v>
      </c>
      <c r="BZ62" s="73">
        <f t="shared" si="143"/>
        <v>147</v>
      </c>
      <c r="CA62" s="69">
        <f t="shared" si="144"/>
        <v>32</v>
      </c>
      <c r="CB62" s="74">
        <f t="shared" si="145"/>
        <v>0.21768707482993196</v>
      </c>
      <c r="CC62" s="75">
        <f t="shared" si="146"/>
        <v>365</v>
      </c>
      <c r="CD62" s="76">
        <f t="shared" si="147"/>
        <v>69</v>
      </c>
      <c r="CE62" s="84">
        <f t="shared" si="148"/>
        <v>0.18904109589041096</v>
      </c>
      <c r="CF62" s="83">
        <v>0</v>
      </c>
      <c r="CG62" s="78">
        <v>0</v>
      </c>
      <c r="CH62" s="85" t="str">
        <f t="shared" si="152"/>
        <v>-</v>
      </c>
    </row>
    <row r="63" spans="1:89" s="17" customFormat="1" ht="21" customHeight="1" x14ac:dyDescent="0.2">
      <c r="A63" s="103">
        <v>13</v>
      </c>
      <c r="B63" s="104" t="s">
        <v>45</v>
      </c>
      <c r="C63" s="65" t="s">
        <v>15</v>
      </c>
      <c r="D63" s="66" t="s">
        <v>16</v>
      </c>
      <c r="E63" s="67">
        <v>0</v>
      </c>
      <c r="F63" s="68">
        <v>0</v>
      </c>
      <c r="G63" s="69">
        <v>0</v>
      </c>
      <c r="H63" s="69">
        <v>0</v>
      </c>
      <c r="I63" s="70">
        <f t="shared" si="137"/>
        <v>0</v>
      </c>
      <c r="J63" s="70">
        <f t="shared" si="138"/>
        <v>0</v>
      </c>
      <c r="K63" s="71" t="str">
        <f t="shared" si="139"/>
        <v>-</v>
      </c>
      <c r="L63" s="67">
        <v>0</v>
      </c>
      <c r="M63" s="68">
        <v>0</v>
      </c>
      <c r="N63" s="69">
        <v>0</v>
      </c>
      <c r="O63" s="69">
        <v>0</v>
      </c>
      <c r="P63" s="70">
        <f t="shared" si="101"/>
        <v>0</v>
      </c>
      <c r="Q63" s="70">
        <f t="shared" si="102"/>
        <v>0</v>
      </c>
      <c r="R63" s="71" t="str">
        <f t="shared" si="103"/>
        <v>-</v>
      </c>
      <c r="S63" s="67">
        <v>0</v>
      </c>
      <c r="T63" s="68">
        <v>0</v>
      </c>
      <c r="U63" s="69">
        <v>0</v>
      </c>
      <c r="V63" s="69">
        <v>0</v>
      </c>
      <c r="W63" s="70">
        <f t="shared" si="104"/>
        <v>0</v>
      </c>
      <c r="X63" s="70">
        <f t="shared" si="105"/>
        <v>0</v>
      </c>
      <c r="Y63" s="71" t="str">
        <f t="shared" si="106"/>
        <v>-</v>
      </c>
      <c r="Z63" s="67">
        <v>0</v>
      </c>
      <c r="AA63" s="68">
        <v>0</v>
      </c>
      <c r="AB63" s="69">
        <v>0</v>
      </c>
      <c r="AC63" s="69">
        <v>0</v>
      </c>
      <c r="AD63" s="70">
        <f t="shared" si="107"/>
        <v>0</v>
      </c>
      <c r="AE63" s="70">
        <f t="shared" si="108"/>
        <v>0</v>
      </c>
      <c r="AF63" s="71" t="str">
        <f t="shared" si="109"/>
        <v>-</v>
      </c>
      <c r="AG63" s="67">
        <v>0</v>
      </c>
      <c r="AH63" s="68">
        <v>0</v>
      </c>
      <c r="AI63" s="69">
        <v>0</v>
      </c>
      <c r="AJ63" s="69">
        <v>0</v>
      </c>
      <c r="AK63" s="70">
        <f t="shared" si="110"/>
        <v>0</v>
      </c>
      <c r="AL63" s="70">
        <f t="shared" si="111"/>
        <v>0</v>
      </c>
      <c r="AM63" s="71" t="str">
        <f t="shared" si="112"/>
        <v>-</v>
      </c>
      <c r="AN63" s="67">
        <v>6</v>
      </c>
      <c r="AO63" s="68">
        <v>1</v>
      </c>
      <c r="AP63" s="69">
        <v>57</v>
      </c>
      <c r="AQ63" s="69">
        <v>13</v>
      </c>
      <c r="AR63" s="70">
        <f t="shared" si="113"/>
        <v>63</v>
      </c>
      <c r="AS63" s="70">
        <f t="shared" si="114"/>
        <v>14</v>
      </c>
      <c r="AT63" s="71">
        <f t="shared" si="115"/>
        <v>0.22222222222222221</v>
      </c>
      <c r="AU63" s="67">
        <v>0</v>
      </c>
      <c r="AV63" s="68">
        <v>0</v>
      </c>
      <c r="AW63" s="69">
        <v>0</v>
      </c>
      <c r="AX63" s="69">
        <v>0</v>
      </c>
      <c r="AY63" s="70">
        <f t="shared" si="116"/>
        <v>0</v>
      </c>
      <c r="AZ63" s="70">
        <f t="shared" si="117"/>
        <v>0</v>
      </c>
      <c r="BA63" s="71" t="str">
        <f t="shared" si="118"/>
        <v>-</v>
      </c>
      <c r="BB63" s="67">
        <v>7</v>
      </c>
      <c r="BC63" s="68">
        <v>1</v>
      </c>
      <c r="BD63" s="69">
        <v>19</v>
      </c>
      <c r="BE63" s="69">
        <v>6</v>
      </c>
      <c r="BF63" s="70">
        <f t="shared" si="119"/>
        <v>26</v>
      </c>
      <c r="BG63" s="70">
        <f t="shared" si="120"/>
        <v>7</v>
      </c>
      <c r="BH63" s="71">
        <f t="shared" si="121"/>
        <v>0.26923076923076922</v>
      </c>
      <c r="BI63" s="67">
        <v>7</v>
      </c>
      <c r="BJ63" s="68">
        <v>0</v>
      </c>
      <c r="BK63" s="69">
        <v>20</v>
      </c>
      <c r="BL63" s="69">
        <v>7</v>
      </c>
      <c r="BM63" s="70">
        <f t="shared" si="122"/>
        <v>27</v>
      </c>
      <c r="BN63" s="70">
        <f t="shared" si="123"/>
        <v>7</v>
      </c>
      <c r="BO63" s="71">
        <f t="shared" si="124"/>
        <v>0.25925925925925924</v>
      </c>
      <c r="BP63" s="67">
        <v>0</v>
      </c>
      <c r="BQ63" s="68">
        <v>0</v>
      </c>
      <c r="BR63" s="69">
        <v>0</v>
      </c>
      <c r="BS63" s="69">
        <v>0</v>
      </c>
      <c r="BT63" s="70">
        <f t="shared" si="125"/>
        <v>0</v>
      </c>
      <c r="BU63" s="70">
        <f t="shared" si="126"/>
        <v>0</v>
      </c>
      <c r="BV63" s="71" t="str">
        <f t="shared" si="127"/>
        <v>-</v>
      </c>
      <c r="BW63" s="67">
        <f t="shared" si="140"/>
        <v>20</v>
      </c>
      <c r="BX63" s="68">
        <f t="shared" si="141"/>
        <v>2</v>
      </c>
      <c r="BY63" s="72">
        <f t="shared" si="142"/>
        <v>0.1</v>
      </c>
      <c r="BZ63" s="73">
        <f t="shared" si="143"/>
        <v>96</v>
      </c>
      <c r="CA63" s="69">
        <f t="shared" si="144"/>
        <v>26</v>
      </c>
      <c r="CB63" s="74">
        <f t="shared" si="145"/>
        <v>0.27083333333333331</v>
      </c>
      <c r="CC63" s="75">
        <f t="shared" si="146"/>
        <v>116</v>
      </c>
      <c r="CD63" s="76">
        <f t="shared" si="147"/>
        <v>28</v>
      </c>
      <c r="CE63" s="84">
        <f t="shared" si="148"/>
        <v>0.2413793103448276</v>
      </c>
      <c r="CF63" s="83">
        <v>0</v>
      </c>
      <c r="CG63" s="78">
        <v>0</v>
      </c>
      <c r="CH63" s="85" t="str">
        <f t="shared" si="152"/>
        <v>-</v>
      </c>
    </row>
    <row r="64" spans="1:89" s="17" customFormat="1" ht="21" customHeight="1" x14ac:dyDescent="0.2">
      <c r="A64" s="103">
        <v>14</v>
      </c>
      <c r="B64" s="104" t="s">
        <v>71</v>
      </c>
      <c r="C64" s="65" t="s">
        <v>15</v>
      </c>
      <c r="D64" s="66" t="s">
        <v>16</v>
      </c>
      <c r="E64" s="67">
        <v>0</v>
      </c>
      <c r="F64" s="68">
        <v>0</v>
      </c>
      <c r="G64" s="69">
        <v>0</v>
      </c>
      <c r="H64" s="69">
        <v>0</v>
      </c>
      <c r="I64" s="70">
        <f t="shared" si="137"/>
        <v>0</v>
      </c>
      <c r="J64" s="70">
        <f t="shared" si="138"/>
        <v>0</v>
      </c>
      <c r="K64" s="71" t="str">
        <f t="shared" si="139"/>
        <v>-</v>
      </c>
      <c r="L64" s="67">
        <v>0</v>
      </c>
      <c r="M64" s="68">
        <v>0</v>
      </c>
      <c r="N64" s="69">
        <v>0</v>
      </c>
      <c r="O64" s="69">
        <v>0</v>
      </c>
      <c r="P64" s="70">
        <f t="shared" si="101"/>
        <v>0</v>
      </c>
      <c r="Q64" s="70">
        <f t="shared" si="102"/>
        <v>0</v>
      </c>
      <c r="R64" s="71" t="str">
        <f t="shared" si="103"/>
        <v>-</v>
      </c>
      <c r="S64" s="67">
        <v>0</v>
      </c>
      <c r="T64" s="68">
        <v>0</v>
      </c>
      <c r="U64" s="69">
        <v>0</v>
      </c>
      <c r="V64" s="69">
        <v>0</v>
      </c>
      <c r="W64" s="70">
        <f t="shared" si="104"/>
        <v>0</v>
      </c>
      <c r="X64" s="70">
        <f t="shared" si="105"/>
        <v>0</v>
      </c>
      <c r="Y64" s="71" t="str">
        <f t="shared" si="106"/>
        <v>-</v>
      </c>
      <c r="Z64" s="67">
        <v>0</v>
      </c>
      <c r="AA64" s="68">
        <v>0</v>
      </c>
      <c r="AB64" s="69">
        <v>0</v>
      </c>
      <c r="AC64" s="69">
        <v>0</v>
      </c>
      <c r="AD64" s="70">
        <f t="shared" si="107"/>
        <v>0</v>
      </c>
      <c r="AE64" s="70">
        <f t="shared" si="108"/>
        <v>0</v>
      </c>
      <c r="AF64" s="71" t="str">
        <f t="shared" si="109"/>
        <v>-</v>
      </c>
      <c r="AG64" s="67">
        <v>0</v>
      </c>
      <c r="AH64" s="68">
        <v>0</v>
      </c>
      <c r="AI64" s="69">
        <v>0</v>
      </c>
      <c r="AJ64" s="69">
        <v>0</v>
      </c>
      <c r="AK64" s="70">
        <f t="shared" si="110"/>
        <v>0</v>
      </c>
      <c r="AL64" s="70">
        <f t="shared" si="111"/>
        <v>0</v>
      </c>
      <c r="AM64" s="71" t="str">
        <f t="shared" si="112"/>
        <v>-</v>
      </c>
      <c r="AN64" s="67">
        <v>0</v>
      </c>
      <c r="AO64" s="68">
        <v>0</v>
      </c>
      <c r="AP64" s="69">
        <v>0</v>
      </c>
      <c r="AQ64" s="69">
        <v>0</v>
      </c>
      <c r="AR64" s="70">
        <f t="shared" si="113"/>
        <v>0</v>
      </c>
      <c r="AS64" s="70">
        <f t="shared" si="114"/>
        <v>0</v>
      </c>
      <c r="AT64" s="71" t="str">
        <f t="shared" si="115"/>
        <v>-</v>
      </c>
      <c r="AU64" s="67">
        <v>0</v>
      </c>
      <c r="AV64" s="68">
        <v>0</v>
      </c>
      <c r="AW64" s="69">
        <v>0</v>
      </c>
      <c r="AX64" s="69">
        <v>0</v>
      </c>
      <c r="AY64" s="70">
        <f t="shared" si="116"/>
        <v>0</v>
      </c>
      <c r="AZ64" s="70">
        <f t="shared" si="117"/>
        <v>0</v>
      </c>
      <c r="BA64" s="71" t="str">
        <f t="shared" si="118"/>
        <v>-</v>
      </c>
      <c r="BB64" s="67">
        <v>0</v>
      </c>
      <c r="BC64" s="68">
        <v>0</v>
      </c>
      <c r="BD64" s="69">
        <v>0</v>
      </c>
      <c r="BE64" s="69">
        <v>0</v>
      </c>
      <c r="BF64" s="70">
        <f t="shared" si="119"/>
        <v>0</v>
      </c>
      <c r="BG64" s="70">
        <f t="shared" si="120"/>
        <v>0</v>
      </c>
      <c r="BH64" s="71" t="str">
        <f t="shared" si="121"/>
        <v>-</v>
      </c>
      <c r="BI64" s="67">
        <v>0</v>
      </c>
      <c r="BJ64" s="68">
        <v>0</v>
      </c>
      <c r="BK64" s="69">
        <v>0</v>
      </c>
      <c r="BL64" s="69">
        <v>0</v>
      </c>
      <c r="BM64" s="70">
        <f t="shared" si="122"/>
        <v>0</v>
      </c>
      <c r="BN64" s="70">
        <f t="shared" si="123"/>
        <v>0</v>
      </c>
      <c r="BO64" s="71" t="str">
        <f t="shared" si="124"/>
        <v>-</v>
      </c>
      <c r="BP64" s="67">
        <v>0</v>
      </c>
      <c r="BQ64" s="68">
        <v>0</v>
      </c>
      <c r="BR64" s="69">
        <v>0</v>
      </c>
      <c r="BS64" s="69">
        <v>0</v>
      </c>
      <c r="BT64" s="70">
        <f t="shared" si="125"/>
        <v>0</v>
      </c>
      <c r="BU64" s="70">
        <f t="shared" si="126"/>
        <v>0</v>
      </c>
      <c r="BV64" s="71" t="str">
        <f t="shared" si="127"/>
        <v>-</v>
      </c>
      <c r="BW64" s="67">
        <f t="shared" si="140"/>
        <v>0</v>
      </c>
      <c r="BX64" s="68">
        <f t="shared" si="141"/>
        <v>0</v>
      </c>
      <c r="BY64" s="72" t="str">
        <f t="shared" si="142"/>
        <v>-</v>
      </c>
      <c r="BZ64" s="73">
        <f t="shared" si="143"/>
        <v>0</v>
      </c>
      <c r="CA64" s="69">
        <f t="shared" si="144"/>
        <v>0</v>
      </c>
      <c r="CB64" s="74" t="str">
        <f t="shared" si="145"/>
        <v>-</v>
      </c>
      <c r="CC64" s="75">
        <f t="shared" si="146"/>
        <v>0</v>
      </c>
      <c r="CD64" s="76">
        <f t="shared" si="147"/>
        <v>0</v>
      </c>
      <c r="CE64" s="84" t="str">
        <f t="shared" si="148"/>
        <v>-</v>
      </c>
      <c r="CF64" s="83">
        <v>0</v>
      </c>
      <c r="CG64" s="78">
        <v>0</v>
      </c>
      <c r="CH64" s="85" t="str">
        <f t="shared" ref="CH64:CH88" si="153">IFERROR(CG64/CF64,"-")</f>
        <v>-</v>
      </c>
    </row>
    <row r="65" spans="1:86" s="17" customFormat="1" ht="21" customHeight="1" x14ac:dyDescent="0.2">
      <c r="A65" s="103">
        <v>15</v>
      </c>
      <c r="B65" s="104" t="s">
        <v>72</v>
      </c>
      <c r="C65" s="65" t="s">
        <v>15</v>
      </c>
      <c r="D65" s="66" t="s">
        <v>16</v>
      </c>
      <c r="E65" s="67">
        <v>0</v>
      </c>
      <c r="F65" s="68">
        <v>0</v>
      </c>
      <c r="G65" s="69">
        <v>0</v>
      </c>
      <c r="H65" s="69">
        <v>0</v>
      </c>
      <c r="I65" s="70">
        <f t="shared" si="137"/>
        <v>0</v>
      </c>
      <c r="J65" s="70">
        <f t="shared" si="138"/>
        <v>0</v>
      </c>
      <c r="K65" s="71" t="str">
        <f t="shared" si="139"/>
        <v>-</v>
      </c>
      <c r="L65" s="67">
        <v>0</v>
      </c>
      <c r="M65" s="68">
        <v>0</v>
      </c>
      <c r="N65" s="69">
        <v>0</v>
      </c>
      <c r="O65" s="69">
        <v>0</v>
      </c>
      <c r="P65" s="70">
        <f t="shared" si="101"/>
        <v>0</v>
      </c>
      <c r="Q65" s="70">
        <f t="shared" si="102"/>
        <v>0</v>
      </c>
      <c r="R65" s="71" t="str">
        <f t="shared" si="103"/>
        <v>-</v>
      </c>
      <c r="S65" s="67">
        <v>0</v>
      </c>
      <c r="T65" s="68">
        <v>0</v>
      </c>
      <c r="U65" s="69">
        <v>0</v>
      </c>
      <c r="V65" s="69">
        <v>0</v>
      </c>
      <c r="W65" s="70">
        <f t="shared" si="104"/>
        <v>0</v>
      </c>
      <c r="X65" s="70">
        <f t="shared" si="105"/>
        <v>0</v>
      </c>
      <c r="Y65" s="71" t="str">
        <f t="shared" si="106"/>
        <v>-</v>
      </c>
      <c r="Z65" s="67">
        <v>0</v>
      </c>
      <c r="AA65" s="68">
        <v>0</v>
      </c>
      <c r="AB65" s="69">
        <v>0</v>
      </c>
      <c r="AC65" s="69">
        <v>0</v>
      </c>
      <c r="AD65" s="70">
        <f t="shared" si="107"/>
        <v>0</v>
      </c>
      <c r="AE65" s="70">
        <f t="shared" si="108"/>
        <v>0</v>
      </c>
      <c r="AF65" s="71" t="str">
        <f t="shared" si="109"/>
        <v>-</v>
      </c>
      <c r="AG65" s="67">
        <v>0</v>
      </c>
      <c r="AH65" s="68">
        <v>0</v>
      </c>
      <c r="AI65" s="69">
        <v>0</v>
      </c>
      <c r="AJ65" s="69">
        <v>0</v>
      </c>
      <c r="AK65" s="70">
        <f t="shared" si="110"/>
        <v>0</v>
      </c>
      <c r="AL65" s="70">
        <f t="shared" si="111"/>
        <v>0</v>
      </c>
      <c r="AM65" s="71" t="str">
        <f t="shared" si="112"/>
        <v>-</v>
      </c>
      <c r="AN65" s="67">
        <v>0</v>
      </c>
      <c r="AO65" s="68">
        <v>0</v>
      </c>
      <c r="AP65" s="69">
        <v>0</v>
      </c>
      <c r="AQ65" s="69">
        <v>0</v>
      </c>
      <c r="AR65" s="70">
        <f t="shared" si="113"/>
        <v>0</v>
      </c>
      <c r="AS65" s="70">
        <f t="shared" si="114"/>
        <v>0</v>
      </c>
      <c r="AT65" s="71" t="str">
        <f t="shared" si="115"/>
        <v>-</v>
      </c>
      <c r="AU65" s="67">
        <v>0</v>
      </c>
      <c r="AV65" s="68">
        <v>0</v>
      </c>
      <c r="AW65" s="69">
        <v>0</v>
      </c>
      <c r="AX65" s="69">
        <v>0</v>
      </c>
      <c r="AY65" s="70">
        <f t="shared" si="116"/>
        <v>0</v>
      </c>
      <c r="AZ65" s="70">
        <f t="shared" si="117"/>
        <v>0</v>
      </c>
      <c r="BA65" s="71" t="str">
        <f t="shared" si="118"/>
        <v>-</v>
      </c>
      <c r="BB65" s="67">
        <v>0</v>
      </c>
      <c r="BC65" s="68">
        <v>0</v>
      </c>
      <c r="BD65" s="69">
        <v>0</v>
      </c>
      <c r="BE65" s="69">
        <v>0</v>
      </c>
      <c r="BF65" s="70">
        <f t="shared" si="119"/>
        <v>0</v>
      </c>
      <c r="BG65" s="70">
        <f t="shared" si="120"/>
        <v>0</v>
      </c>
      <c r="BH65" s="71" t="str">
        <f t="shared" si="121"/>
        <v>-</v>
      </c>
      <c r="BI65" s="67">
        <v>0</v>
      </c>
      <c r="BJ65" s="68">
        <v>0</v>
      </c>
      <c r="BK65" s="69">
        <v>0</v>
      </c>
      <c r="BL65" s="69">
        <v>0</v>
      </c>
      <c r="BM65" s="70">
        <f t="shared" si="122"/>
        <v>0</v>
      </c>
      <c r="BN65" s="70">
        <f t="shared" si="123"/>
        <v>0</v>
      </c>
      <c r="BO65" s="71" t="str">
        <f t="shared" si="124"/>
        <v>-</v>
      </c>
      <c r="BP65" s="67">
        <v>0</v>
      </c>
      <c r="BQ65" s="68">
        <v>0</v>
      </c>
      <c r="BR65" s="69">
        <v>0</v>
      </c>
      <c r="BS65" s="69">
        <v>0</v>
      </c>
      <c r="BT65" s="70">
        <f t="shared" si="125"/>
        <v>0</v>
      </c>
      <c r="BU65" s="70">
        <f t="shared" si="126"/>
        <v>0</v>
      </c>
      <c r="BV65" s="71" t="str">
        <f t="shared" si="127"/>
        <v>-</v>
      </c>
      <c r="BW65" s="67">
        <f t="shared" si="140"/>
        <v>0</v>
      </c>
      <c r="BX65" s="68">
        <f t="shared" si="141"/>
        <v>0</v>
      </c>
      <c r="BY65" s="72" t="str">
        <f t="shared" si="142"/>
        <v>-</v>
      </c>
      <c r="BZ65" s="73">
        <f t="shared" si="143"/>
        <v>0</v>
      </c>
      <c r="CA65" s="69">
        <f t="shared" si="144"/>
        <v>0</v>
      </c>
      <c r="CB65" s="74" t="str">
        <f t="shared" si="145"/>
        <v>-</v>
      </c>
      <c r="CC65" s="75">
        <f t="shared" si="146"/>
        <v>0</v>
      </c>
      <c r="CD65" s="76">
        <f t="shared" si="147"/>
        <v>0</v>
      </c>
      <c r="CE65" s="84" t="str">
        <f t="shared" si="148"/>
        <v>-</v>
      </c>
      <c r="CF65" s="83">
        <v>0</v>
      </c>
      <c r="CG65" s="78">
        <v>0</v>
      </c>
      <c r="CH65" s="85" t="str">
        <f t="shared" si="153"/>
        <v>-</v>
      </c>
    </row>
    <row r="66" spans="1:86" s="17" customFormat="1" ht="21" customHeight="1" x14ac:dyDescent="0.2">
      <c r="A66" s="103">
        <v>16</v>
      </c>
      <c r="B66" s="104" t="s">
        <v>47</v>
      </c>
      <c r="C66" s="65" t="s">
        <v>17</v>
      </c>
      <c r="D66" s="66" t="s">
        <v>18</v>
      </c>
      <c r="E66" s="67">
        <v>0</v>
      </c>
      <c r="F66" s="68">
        <v>0</v>
      </c>
      <c r="G66" s="69">
        <v>0</v>
      </c>
      <c r="H66" s="69">
        <v>0</v>
      </c>
      <c r="I66" s="70">
        <f t="shared" si="137"/>
        <v>0</v>
      </c>
      <c r="J66" s="70">
        <f t="shared" si="138"/>
        <v>0</v>
      </c>
      <c r="K66" s="71" t="str">
        <f t="shared" si="139"/>
        <v>-</v>
      </c>
      <c r="L66" s="67">
        <v>0</v>
      </c>
      <c r="M66" s="68">
        <v>0</v>
      </c>
      <c r="N66" s="69">
        <v>0</v>
      </c>
      <c r="O66" s="69">
        <v>0</v>
      </c>
      <c r="P66" s="70">
        <f t="shared" si="101"/>
        <v>0</v>
      </c>
      <c r="Q66" s="70">
        <f t="shared" si="102"/>
        <v>0</v>
      </c>
      <c r="R66" s="71" t="str">
        <f t="shared" si="103"/>
        <v>-</v>
      </c>
      <c r="S66" s="67">
        <v>24</v>
      </c>
      <c r="T66" s="68">
        <v>7</v>
      </c>
      <c r="U66" s="69">
        <v>21</v>
      </c>
      <c r="V66" s="69">
        <v>9</v>
      </c>
      <c r="W66" s="70">
        <f t="shared" si="104"/>
        <v>45</v>
      </c>
      <c r="X66" s="70">
        <f t="shared" si="105"/>
        <v>16</v>
      </c>
      <c r="Y66" s="71">
        <f t="shared" si="106"/>
        <v>0.35555555555555557</v>
      </c>
      <c r="Z66" s="67">
        <v>0</v>
      </c>
      <c r="AA66" s="68">
        <v>0</v>
      </c>
      <c r="AB66" s="69">
        <v>0</v>
      </c>
      <c r="AC66" s="69">
        <v>0</v>
      </c>
      <c r="AD66" s="70">
        <f t="shared" si="107"/>
        <v>0</v>
      </c>
      <c r="AE66" s="70">
        <f t="shared" si="108"/>
        <v>0</v>
      </c>
      <c r="AF66" s="71" t="str">
        <f t="shared" si="109"/>
        <v>-</v>
      </c>
      <c r="AG66" s="67">
        <v>0</v>
      </c>
      <c r="AH66" s="68">
        <v>0</v>
      </c>
      <c r="AI66" s="69">
        <v>0</v>
      </c>
      <c r="AJ66" s="69">
        <v>0</v>
      </c>
      <c r="AK66" s="70">
        <f t="shared" si="110"/>
        <v>0</v>
      </c>
      <c r="AL66" s="70">
        <f t="shared" si="111"/>
        <v>0</v>
      </c>
      <c r="AM66" s="71" t="str">
        <f t="shared" si="112"/>
        <v>-</v>
      </c>
      <c r="AN66" s="67">
        <v>35</v>
      </c>
      <c r="AO66" s="68">
        <v>9</v>
      </c>
      <c r="AP66" s="69">
        <v>93</v>
      </c>
      <c r="AQ66" s="69">
        <v>23</v>
      </c>
      <c r="AR66" s="70">
        <f t="shared" si="113"/>
        <v>128</v>
      </c>
      <c r="AS66" s="70">
        <f t="shared" si="114"/>
        <v>32</v>
      </c>
      <c r="AT66" s="71">
        <f t="shared" si="115"/>
        <v>0.25</v>
      </c>
      <c r="AU66" s="67">
        <v>140</v>
      </c>
      <c r="AV66" s="68">
        <v>100</v>
      </c>
      <c r="AW66" s="69">
        <v>146</v>
      </c>
      <c r="AX66" s="69">
        <v>28</v>
      </c>
      <c r="AY66" s="70">
        <f t="shared" si="116"/>
        <v>286</v>
      </c>
      <c r="AZ66" s="70">
        <f t="shared" si="117"/>
        <v>128</v>
      </c>
      <c r="BA66" s="71">
        <f t="shared" si="118"/>
        <v>0.44755244755244755</v>
      </c>
      <c r="BB66" s="67">
        <v>0</v>
      </c>
      <c r="BC66" s="68">
        <v>0</v>
      </c>
      <c r="BD66" s="69">
        <v>0</v>
      </c>
      <c r="BE66" s="69">
        <v>0</v>
      </c>
      <c r="BF66" s="70">
        <f t="shared" si="119"/>
        <v>0</v>
      </c>
      <c r="BG66" s="70">
        <f t="shared" si="120"/>
        <v>0</v>
      </c>
      <c r="BH66" s="71" t="str">
        <f t="shared" si="121"/>
        <v>-</v>
      </c>
      <c r="BI66" s="67">
        <v>18</v>
      </c>
      <c r="BJ66" s="68">
        <v>0</v>
      </c>
      <c r="BK66" s="69">
        <v>47</v>
      </c>
      <c r="BL66" s="69">
        <v>24</v>
      </c>
      <c r="BM66" s="70">
        <f t="shared" si="122"/>
        <v>65</v>
      </c>
      <c r="BN66" s="70">
        <f t="shared" si="123"/>
        <v>24</v>
      </c>
      <c r="BO66" s="71">
        <f t="shared" si="124"/>
        <v>0.36923076923076925</v>
      </c>
      <c r="BP66" s="67">
        <v>0</v>
      </c>
      <c r="BQ66" s="68">
        <v>0</v>
      </c>
      <c r="BR66" s="69">
        <v>0</v>
      </c>
      <c r="BS66" s="69">
        <v>0</v>
      </c>
      <c r="BT66" s="70">
        <f t="shared" si="125"/>
        <v>0</v>
      </c>
      <c r="BU66" s="70">
        <f t="shared" si="126"/>
        <v>0</v>
      </c>
      <c r="BV66" s="71" t="str">
        <f t="shared" si="127"/>
        <v>-</v>
      </c>
      <c r="BW66" s="67">
        <f t="shared" si="140"/>
        <v>217</v>
      </c>
      <c r="BX66" s="68">
        <f t="shared" si="141"/>
        <v>116</v>
      </c>
      <c r="BY66" s="72">
        <f t="shared" si="142"/>
        <v>0.53456221198156684</v>
      </c>
      <c r="BZ66" s="73">
        <f t="shared" si="143"/>
        <v>307</v>
      </c>
      <c r="CA66" s="69">
        <f t="shared" si="144"/>
        <v>84</v>
      </c>
      <c r="CB66" s="74">
        <f t="shared" si="145"/>
        <v>0.2736156351791531</v>
      </c>
      <c r="CC66" s="75">
        <f t="shared" si="146"/>
        <v>524</v>
      </c>
      <c r="CD66" s="76">
        <f t="shared" si="147"/>
        <v>200</v>
      </c>
      <c r="CE66" s="84">
        <f t="shared" si="148"/>
        <v>0.38167938931297712</v>
      </c>
      <c r="CF66" s="83">
        <v>72</v>
      </c>
      <c r="CG66" s="78">
        <v>64</v>
      </c>
      <c r="CH66" s="85">
        <f t="shared" si="153"/>
        <v>0.88888888888888884</v>
      </c>
    </row>
    <row r="67" spans="1:86" s="17" customFormat="1" ht="21" customHeight="1" x14ac:dyDescent="0.2">
      <c r="A67" s="103">
        <v>17</v>
      </c>
      <c r="B67" s="104" t="s">
        <v>48</v>
      </c>
      <c r="C67" s="65" t="s">
        <v>15</v>
      </c>
      <c r="D67" s="66" t="s">
        <v>16</v>
      </c>
      <c r="E67" s="67">
        <v>0</v>
      </c>
      <c r="F67" s="68">
        <v>0</v>
      </c>
      <c r="G67" s="69">
        <v>0</v>
      </c>
      <c r="H67" s="69">
        <v>0</v>
      </c>
      <c r="I67" s="70">
        <f t="shared" si="137"/>
        <v>0</v>
      </c>
      <c r="J67" s="70">
        <f t="shared" si="138"/>
        <v>0</v>
      </c>
      <c r="K67" s="71" t="str">
        <f t="shared" si="139"/>
        <v>-</v>
      </c>
      <c r="L67" s="67">
        <v>34</v>
      </c>
      <c r="M67" s="68">
        <v>0</v>
      </c>
      <c r="N67" s="69">
        <v>3</v>
      </c>
      <c r="O67" s="69">
        <v>0</v>
      </c>
      <c r="P67" s="70">
        <f t="shared" si="101"/>
        <v>37</v>
      </c>
      <c r="Q67" s="70">
        <f t="shared" si="102"/>
        <v>0</v>
      </c>
      <c r="R67" s="71">
        <f t="shared" si="103"/>
        <v>0</v>
      </c>
      <c r="S67" s="67">
        <v>36</v>
      </c>
      <c r="T67" s="68">
        <v>15</v>
      </c>
      <c r="U67" s="69">
        <v>7</v>
      </c>
      <c r="V67" s="69">
        <v>2</v>
      </c>
      <c r="W67" s="70">
        <f t="shared" si="104"/>
        <v>43</v>
      </c>
      <c r="X67" s="70">
        <f t="shared" si="105"/>
        <v>17</v>
      </c>
      <c r="Y67" s="71">
        <f t="shared" si="106"/>
        <v>0.39534883720930231</v>
      </c>
      <c r="Z67" s="67">
        <v>0</v>
      </c>
      <c r="AA67" s="68">
        <v>0</v>
      </c>
      <c r="AB67" s="69">
        <v>0</v>
      </c>
      <c r="AC67" s="69">
        <v>0</v>
      </c>
      <c r="AD67" s="70">
        <f t="shared" si="107"/>
        <v>0</v>
      </c>
      <c r="AE67" s="70">
        <f t="shared" si="108"/>
        <v>0</v>
      </c>
      <c r="AF67" s="71" t="str">
        <f t="shared" si="109"/>
        <v>-</v>
      </c>
      <c r="AG67" s="67">
        <v>43</v>
      </c>
      <c r="AH67" s="68">
        <v>2</v>
      </c>
      <c r="AI67" s="69">
        <v>28</v>
      </c>
      <c r="AJ67" s="69">
        <v>0</v>
      </c>
      <c r="AK67" s="70">
        <f t="shared" si="110"/>
        <v>71</v>
      </c>
      <c r="AL67" s="70">
        <f t="shared" si="111"/>
        <v>2</v>
      </c>
      <c r="AM67" s="71">
        <f t="shared" si="112"/>
        <v>2.8169014084507043E-2</v>
      </c>
      <c r="AN67" s="67">
        <v>27</v>
      </c>
      <c r="AO67" s="68">
        <v>0</v>
      </c>
      <c r="AP67" s="69">
        <v>49</v>
      </c>
      <c r="AQ67" s="69">
        <v>0</v>
      </c>
      <c r="AR67" s="70">
        <f t="shared" si="113"/>
        <v>76</v>
      </c>
      <c r="AS67" s="70">
        <f t="shared" si="114"/>
        <v>0</v>
      </c>
      <c r="AT67" s="71">
        <f t="shared" si="115"/>
        <v>0</v>
      </c>
      <c r="AU67" s="67">
        <v>49</v>
      </c>
      <c r="AV67" s="68">
        <v>15</v>
      </c>
      <c r="AW67" s="69">
        <v>8</v>
      </c>
      <c r="AX67" s="69">
        <v>0</v>
      </c>
      <c r="AY67" s="70">
        <f t="shared" si="116"/>
        <v>57</v>
      </c>
      <c r="AZ67" s="70">
        <f t="shared" si="117"/>
        <v>15</v>
      </c>
      <c r="BA67" s="71">
        <f t="shared" si="118"/>
        <v>0.26315789473684209</v>
      </c>
      <c r="BB67" s="67">
        <v>0</v>
      </c>
      <c r="BC67" s="68">
        <v>0</v>
      </c>
      <c r="BD67" s="69">
        <v>0</v>
      </c>
      <c r="BE67" s="69">
        <v>0</v>
      </c>
      <c r="BF67" s="70">
        <f t="shared" si="119"/>
        <v>0</v>
      </c>
      <c r="BG67" s="70">
        <f t="shared" si="120"/>
        <v>0</v>
      </c>
      <c r="BH67" s="71" t="str">
        <f t="shared" si="121"/>
        <v>-</v>
      </c>
      <c r="BI67" s="67">
        <v>20</v>
      </c>
      <c r="BJ67" s="68">
        <v>0</v>
      </c>
      <c r="BK67" s="69">
        <v>17</v>
      </c>
      <c r="BL67" s="69">
        <v>2</v>
      </c>
      <c r="BM67" s="70">
        <f t="shared" si="122"/>
        <v>37</v>
      </c>
      <c r="BN67" s="70">
        <f t="shared" si="123"/>
        <v>2</v>
      </c>
      <c r="BO67" s="71">
        <f t="shared" si="124"/>
        <v>5.4054054054054057E-2</v>
      </c>
      <c r="BP67" s="67">
        <v>33</v>
      </c>
      <c r="BQ67" s="68">
        <v>0</v>
      </c>
      <c r="BR67" s="69">
        <v>14</v>
      </c>
      <c r="BS67" s="69">
        <v>0</v>
      </c>
      <c r="BT67" s="70">
        <f t="shared" si="125"/>
        <v>47</v>
      </c>
      <c r="BU67" s="70">
        <f t="shared" si="126"/>
        <v>0</v>
      </c>
      <c r="BV67" s="71">
        <f t="shared" si="127"/>
        <v>0</v>
      </c>
      <c r="BW67" s="67">
        <f t="shared" si="140"/>
        <v>242</v>
      </c>
      <c r="BX67" s="68">
        <f t="shared" si="141"/>
        <v>32</v>
      </c>
      <c r="BY67" s="72">
        <f t="shared" si="142"/>
        <v>0.13223140495867769</v>
      </c>
      <c r="BZ67" s="73">
        <f t="shared" si="143"/>
        <v>126</v>
      </c>
      <c r="CA67" s="69">
        <f t="shared" si="144"/>
        <v>4</v>
      </c>
      <c r="CB67" s="74">
        <f t="shared" si="145"/>
        <v>3.1746031746031744E-2</v>
      </c>
      <c r="CC67" s="75">
        <f t="shared" si="146"/>
        <v>368</v>
      </c>
      <c r="CD67" s="76">
        <f t="shared" si="147"/>
        <v>36</v>
      </c>
      <c r="CE67" s="84">
        <f t="shared" si="148"/>
        <v>9.7826086956521743E-2</v>
      </c>
      <c r="CF67" s="83">
        <v>0</v>
      </c>
      <c r="CG67" s="78">
        <v>0</v>
      </c>
      <c r="CH67" s="85" t="str">
        <f t="shared" si="153"/>
        <v>-</v>
      </c>
    </row>
    <row r="68" spans="1:86" s="17" customFormat="1" ht="21" customHeight="1" x14ac:dyDescent="0.2">
      <c r="A68" s="103">
        <v>18</v>
      </c>
      <c r="B68" s="104" t="s">
        <v>50</v>
      </c>
      <c r="C68" s="65" t="s">
        <v>17</v>
      </c>
      <c r="D68" s="66" t="s">
        <v>19</v>
      </c>
      <c r="E68" s="67">
        <v>0</v>
      </c>
      <c r="F68" s="68">
        <v>0</v>
      </c>
      <c r="G68" s="69">
        <v>0</v>
      </c>
      <c r="H68" s="69">
        <v>0</v>
      </c>
      <c r="I68" s="70">
        <f t="shared" si="137"/>
        <v>0</v>
      </c>
      <c r="J68" s="70">
        <f t="shared" si="138"/>
        <v>0</v>
      </c>
      <c r="K68" s="71" t="str">
        <f t="shared" si="139"/>
        <v>-</v>
      </c>
      <c r="L68" s="67">
        <v>0</v>
      </c>
      <c r="M68" s="68">
        <v>0</v>
      </c>
      <c r="N68" s="69">
        <v>0</v>
      </c>
      <c r="O68" s="69">
        <v>0</v>
      </c>
      <c r="P68" s="70">
        <f t="shared" si="101"/>
        <v>0</v>
      </c>
      <c r="Q68" s="70">
        <f t="shared" si="102"/>
        <v>0</v>
      </c>
      <c r="R68" s="71" t="str">
        <f t="shared" si="103"/>
        <v>-</v>
      </c>
      <c r="S68" s="67">
        <v>0</v>
      </c>
      <c r="T68" s="68">
        <v>0</v>
      </c>
      <c r="U68" s="69">
        <v>0</v>
      </c>
      <c r="V68" s="69">
        <v>0</v>
      </c>
      <c r="W68" s="70">
        <f t="shared" si="104"/>
        <v>0</v>
      </c>
      <c r="X68" s="70">
        <f t="shared" si="105"/>
        <v>0</v>
      </c>
      <c r="Y68" s="71" t="str">
        <f t="shared" si="106"/>
        <v>-</v>
      </c>
      <c r="Z68" s="67">
        <v>0</v>
      </c>
      <c r="AA68" s="68">
        <v>0</v>
      </c>
      <c r="AB68" s="69">
        <v>0</v>
      </c>
      <c r="AC68" s="69">
        <v>0</v>
      </c>
      <c r="AD68" s="70">
        <f t="shared" si="107"/>
        <v>0</v>
      </c>
      <c r="AE68" s="70">
        <f t="shared" si="108"/>
        <v>0</v>
      </c>
      <c r="AF68" s="71" t="str">
        <f t="shared" si="109"/>
        <v>-</v>
      </c>
      <c r="AG68" s="67">
        <v>0</v>
      </c>
      <c r="AH68" s="68">
        <v>0</v>
      </c>
      <c r="AI68" s="69">
        <v>0</v>
      </c>
      <c r="AJ68" s="69">
        <v>0</v>
      </c>
      <c r="AK68" s="70">
        <f t="shared" si="110"/>
        <v>0</v>
      </c>
      <c r="AL68" s="70">
        <f t="shared" si="111"/>
        <v>0</v>
      </c>
      <c r="AM68" s="71" t="str">
        <f t="shared" si="112"/>
        <v>-</v>
      </c>
      <c r="AN68" s="67">
        <v>0</v>
      </c>
      <c r="AO68" s="68">
        <v>0</v>
      </c>
      <c r="AP68" s="69">
        <v>0</v>
      </c>
      <c r="AQ68" s="69">
        <v>0</v>
      </c>
      <c r="AR68" s="70">
        <f t="shared" si="113"/>
        <v>0</v>
      </c>
      <c r="AS68" s="70">
        <f t="shared" si="114"/>
        <v>0</v>
      </c>
      <c r="AT68" s="71" t="str">
        <f t="shared" si="115"/>
        <v>-</v>
      </c>
      <c r="AU68" s="67">
        <v>76</v>
      </c>
      <c r="AV68" s="68">
        <v>65</v>
      </c>
      <c r="AW68" s="69">
        <v>65</v>
      </c>
      <c r="AX68" s="69">
        <v>51</v>
      </c>
      <c r="AY68" s="70">
        <f t="shared" si="116"/>
        <v>141</v>
      </c>
      <c r="AZ68" s="70">
        <f t="shared" si="117"/>
        <v>116</v>
      </c>
      <c r="BA68" s="71">
        <f t="shared" si="118"/>
        <v>0.82269503546099287</v>
      </c>
      <c r="BB68" s="67">
        <v>20</v>
      </c>
      <c r="BC68" s="68">
        <v>10</v>
      </c>
      <c r="BD68" s="69">
        <v>27</v>
      </c>
      <c r="BE68" s="69">
        <v>12</v>
      </c>
      <c r="BF68" s="70">
        <f t="shared" si="119"/>
        <v>47</v>
      </c>
      <c r="BG68" s="70">
        <f t="shared" si="120"/>
        <v>22</v>
      </c>
      <c r="BH68" s="71">
        <f t="shared" si="121"/>
        <v>0.46808510638297873</v>
      </c>
      <c r="BI68" s="67">
        <v>24</v>
      </c>
      <c r="BJ68" s="68">
        <v>15</v>
      </c>
      <c r="BK68" s="69">
        <v>29</v>
      </c>
      <c r="BL68" s="69">
        <v>10</v>
      </c>
      <c r="BM68" s="70">
        <f t="shared" si="122"/>
        <v>53</v>
      </c>
      <c r="BN68" s="70">
        <f t="shared" si="123"/>
        <v>25</v>
      </c>
      <c r="BO68" s="71">
        <f t="shared" si="124"/>
        <v>0.47169811320754718</v>
      </c>
      <c r="BP68" s="67">
        <v>30</v>
      </c>
      <c r="BQ68" s="68">
        <v>18</v>
      </c>
      <c r="BR68" s="69">
        <v>24</v>
      </c>
      <c r="BS68" s="69">
        <v>10</v>
      </c>
      <c r="BT68" s="70">
        <f t="shared" si="125"/>
        <v>54</v>
      </c>
      <c r="BU68" s="70">
        <f t="shared" si="126"/>
        <v>28</v>
      </c>
      <c r="BV68" s="71">
        <f t="shared" si="127"/>
        <v>0.51851851851851849</v>
      </c>
      <c r="BW68" s="67">
        <f t="shared" si="140"/>
        <v>150</v>
      </c>
      <c r="BX68" s="68">
        <f t="shared" si="141"/>
        <v>108</v>
      </c>
      <c r="BY68" s="72">
        <f t="shared" si="142"/>
        <v>0.72</v>
      </c>
      <c r="BZ68" s="73">
        <f t="shared" si="143"/>
        <v>145</v>
      </c>
      <c r="CA68" s="69">
        <f t="shared" si="144"/>
        <v>83</v>
      </c>
      <c r="CB68" s="74">
        <f t="shared" si="145"/>
        <v>0.57241379310344831</v>
      </c>
      <c r="CC68" s="75">
        <f t="shared" si="146"/>
        <v>295</v>
      </c>
      <c r="CD68" s="76">
        <f t="shared" si="147"/>
        <v>191</v>
      </c>
      <c r="CE68" s="84">
        <f t="shared" si="148"/>
        <v>0.64745762711864407</v>
      </c>
      <c r="CF68" s="83">
        <v>38</v>
      </c>
      <c r="CG68" s="78">
        <v>37</v>
      </c>
      <c r="CH68" s="85">
        <f t="shared" si="153"/>
        <v>0.97368421052631582</v>
      </c>
    </row>
    <row r="69" spans="1:86" s="17" customFormat="1" ht="21" customHeight="1" x14ac:dyDescent="0.2">
      <c r="A69" s="103">
        <v>19</v>
      </c>
      <c r="B69" s="104" t="s">
        <v>49</v>
      </c>
      <c r="C69" s="65" t="s">
        <v>15</v>
      </c>
      <c r="D69" s="66" t="s">
        <v>16</v>
      </c>
      <c r="E69" s="67">
        <v>0</v>
      </c>
      <c r="F69" s="68">
        <v>0</v>
      </c>
      <c r="G69" s="69">
        <v>0</v>
      </c>
      <c r="H69" s="69">
        <v>0</v>
      </c>
      <c r="I69" s="70">
        <f t="shared" si="137"/>
        <v>0</v>
      </c>
      <c r="J69" s="70">
        <f t="shared" si="138"/>
        <v>0</v>
      </c>
      <c r="K69" s="71" t="str">
        <f t="shared" si="139"/>
        <v>-</v>
      </c>
      <c r="L69" s="67">
        <v>28</v>
      </c>
      <c r="M69" s="68">
        <v>10</v>
      </c>
      <c r="N69" s="69">
        <v>7</v>
      </c>
      <c r="O69" s="69">
        <v>5</v>
      </c>
      <c r="P69" s="70">
        <f t="shared" si="101"/>
        <v>35</v>
      </c>
      <c r="Q69" s="70">
        <f t="shared" si="102"/>
        <v>15</v>
      </c>
      <c r="R69" s="71">
        <f t="shared" si="103"/>
        <v>0.42857142857142855</v>
      </c>
      <c r="S69" s="67">
        <v>76</v>
      </c>
      <c r="T69" s="68">
        <v>15</v>
      </c>
      <c r="U69" s="69">
        <v>45</v>
      </c>
      <c r="V69" s="69">
        <v>20</v>
      </c>
      <c r="W69" s="70">
        <f t="shared" si="104"/>
        <v>121</v>
      </c>
      <c r="X69" s="70">
        <f t="shared" si="105"/>
        <v>35</v>
      </c>
      <c r="Y69" s="71">
        <f t="shared" si="106"/>
        <v>0.28925619834710742</v>
      </c>
      <c r="Z69" s="67">
        <v>0</v>
      </c>
      <c r="AA69" s="68">
        <v>0</v>
      </c>
      <c r="AB69" s="69">
        <v>0</v>
      </c>
      <c r="AC69" s="69">
        <v>0</v>
      </c>
      <c r="AD69" s="70">
        <f t="shared" si="107"/>
        <v>0</v>
      </c>
      <c r="AE69" s="70">
        <f t="shared" si="108"/>
        <v>0</v>
      </c>
      <c r="AF69" s="71" t="str">
        <f t="shared" si="109"/>
        <v>-</v>
      </c>
      <c r="AG69" s="67">
        <v>27</v>
      </c>
      <c r="AH69" s="68">
        <v>12</v>
      </c>
      <c r="AI69" s="69">
        <v>36</v>
      </c>
      <c r="AJ69" s="69">
        <v>10</v>
      </c>
      <c r="AK69" s="70">
        <f t="shared" si="110"/>
        <v>63</v>
      </c>
      <c r="AL69" s="70">
        <f t="shared" si="111"/>
        <v>22</v>
      </c>
      <c r="AM69" s="71">
        <f t="shared" si="112"/>
        <v>0.34920634920634919</v>
      </c>
      <c r="AN69" s="67">
        <v>49</v>
      </c>
      <c r="AO69" s="68">
        <v>18</v>
      </c>
      <c r="AP69" s="69">
        <v>70</v>
      </c>
      <c r="AQ69" s="69">
        <v>20</v>
      </c>
      <c r="AR69" s="70">
        <f t="shared" si="113"/>
        <v>119</v>
      </c>
      <c r="AS69" s="70">
        <f t="shared" si="114"/>
        <v>38</v>
      </c>
      <c r="AT69" s="71">
        <f t="shared" si="115"/>
        <v>0.31932773109243695</v>
      </c>
      <c r="AU69" s="67">
        <v>0</v>
      </c>
      <c r="AV69" s="68">
        <v>0</v>
      </c>
      <c r="AW69" s="69">
        <v>0</v>
      </c>
      <c r="AX69" s="69">
        <v>0</v>
      </c>
      <c r="AY69" s="70">
        <f t="shared" si="116"/>
        <v>0</v>
      </c>
      <c r="AZ69" s="70">
        <f t="shared" si="117"/>
        <v>0</v>
      </c>
      <c r="BA69" s="71" t="str">
        <f t="shared" si="118"/>
        <v>-</v>
      </c>
      <c r="BB69" s="67">
        <v>0</v>
      </c>
      <c r="BC69" s="68">
        <v>0</v>
      </c>
      <c r="BD69" s="69">
        <v>0</v>
      </c>
      <c r="BE69" s="69">
        <v>0</v>
      </c>
      <c r="BF69" s="70">
        <f t="shared" si="119"/>
        <v>0</v>
      </c>
      <c r="BG69" s="70">
        <f t="shared" si="120"/>
        <v>0</v>
      </c>
      <c r="BH69" s="71" t="str">
        <f t="shared" si="121"/>
        <v>-</v>
      </c>
      <c r="BI69" s="67">
        <v>0</v>
      </c>
      <c r="BJ69" s="68">
        <v>0</v>
      </c>
      <c r="BK69" s="69">
        <v>0</v>
      </c>
      <c r="BL69" s="69">
        <v>0</v>
      </c>
      <c r="BM69" s="70">
        <f t="shared" si="122"/>
        <v>0</v>
      </c>
      <c r="BN69" s="70">
        <f t="shared" si="123"/>
        <v>0</v>
      </c>
      <c r="BO69" s="71" t="str">
        <f t="shared" si="124"/>
        <v>-</v>
      </c>
      <c r="BP69" s="67">
        <v>0</v>
      </c>
      <c r="BQ69" s="68">
        <v>0</v>
      </c>
      <c r="BR69" s="69">
        <v>0</v>
      </c>
      <c r="BS69" s="69">
        <v>0</v>
      </c>
      <c r="BT69" s="70">
        <f t="shared" si="125"/>
        <v>0</v>
      </c>
      <c r="BU69" s="70">
        <f t="shared" si="126"/>
        <v>0</v>
      </c>
      <c r="BV69" s="71" t="str">
        <f t="shared" si="127"/>
        <v>-</v>
      </c>
      <c r="BW69" s="67">
        <f t="shared" si="140"/>
        <v>180</v>
      </c>
      <c r="BX69" s="68">
        <f t="shared" si="141"/>
        <v>55</v>
      </c>
      <c r="BY69" s="72">
        <f t="shared" si="142"/>
        <v>0.30555555555555558</v>
      </c>
      <c r="BZ69" s="73">
        <f t="shared" si="143"/>
        <v>158</v>
      </c>
      <c r="CA69" s="69">
        <f t="shared" si="144"/>
        <v>55</v>
      </c>
      <c r="CB69" s="74">
        <f t="shared" si="145"/>
        <v>0.34810126582278483</v>
      </c>
      <c r="CC69" s="75">
        <f t="shared" si="146"/>
        <v>338</v>
      </c>
      <c r="CD69" s="76">
        <f t="shared" si="147"/>
        <v>110</v>
      </c>
      <c r="CE69" s="84">
        <f t="shared" si="148"/>
        <v>0.32544378698224852</v>
      </c>
      <c r="CF69" s="83">
        <v>0</v>
      </c>
      <c r="CG69" s="78">
        <v>0</v>
      </c>
      <c r="CH69" s="85" t="str">
        <f t="shared" si="153"/>
        <v>-</v>
      </c>
    </row>
    <row r="70" spans="1:86" s="17" customFormat="1" ht="21" customHeight="1" x14ac:dyDescent="0.2">
      <c r="A70" s="103">
        <v>20</v>
      </c>
      <c r="B70" s="104" t="s">
        <v>25</v>
      </c>
      <c r="C70" s="65" t="s">
        <v>15</v>
      </c>
      <c r="D70" s="66" t="s">
        <v>16</v>
      </c>
      <c r="E70" s="67">
        <v>0</v>
      </c>
      <c r="F70" s="68">
        <v>0</v>
      </c>
      <c r="G70" s="69">
        <v>0</v>
      </c>
      <c r="H70" s="69">
        <v>0</v>
      </c>
      <c r="I70" s="70">
        <f t="shared" si="137"/>
        <v>0</v>
      </c>
      <c r="J70" s="70">
        <f t="shared" si="138"/>
        <v>0</v>
      </c>
      <c r="K70" s="71" t="str">
        <f t="shared" si="139"/>
        <v>-</v>
      </c>
      <c r="L70" s="67">
        <v>23</v>
      </c>
      <c r="M70" s="68">
        <v>8</v>
      </c>
      <c r="N70" s="69">
        <v>15</v>
      </c>
      <c r="O70" s="69">
        <v>9</v>
      </c>
      <c r="P70" s="70">
        <f t="shared" si="101"/>
        <v>38</v>
      </c>
      <c r="Q70" s="70">
        <f t="shared" si="102"/>
        <v>17</v>
      </c>
      <c r="R70" s="71">
        <f t="shared" si="103"/>
        <v>0.44736842105263158</v>
      </c>
      <c r="S70" s="67">
        <v>11</v>
      </c>
      <c r="T70" s="68">
        <v>4</v>
      </c>
      <c r="U70" s="69">
        <v>27</v>
      </c>
      <c r="V70" s="69">
        <v>8</v>
      </c>
      <c r="W70" s="70">
        <f t="shared" si="104"/>
        <v>38</v>
      </c>
      <c r="X70" s="70">
        <f t="shared" si="105"/>
        <v>12</v>
      </c>
      <c r="Y70" s="71">
        <f t="shared" si="106"/>
        <v>0.31578947368421051</v>
      </c>
      <c r="Z70" s="67">
        <v>0</v>
      </c>
      <c r="AA70" s="68">
        <v>0</v>
      </c>
      <c r="AB70" s="69">
        <v>0</v>
      </c>
      <c r="AC70" s="69">
        <v>0</v>
      </c>
      <c r="AD70" s="70">
        <f t="shared" si="107"/>
        <v>0</v>
      </c>
      <c r="AE70" s="70">
        <f t="shared" si="108"/>
        <v>0</v>
      </c>
      <c r="AF70" s="71" t="str">
        <f t="shared" si="109"/>
        <v>-</v>
      </c>
      <c r="AG70" s="67">
        <v>26</v>
      </c>
      <c r="AH70" s="68">
        <v>10</v>
      </c>
      <c r="AI70" s="69">
        <v>65</v>
      </c>
      <c r="AJ70" s="69">
        <v>18</v>
      </c>
      <c r="AK70" s="70">
        <f t="shared" si="110"/>
        <v>91</v>
      </c>
      <c r="AL70" s="70">
        <f t="shared" si="111"/>
        <v>28</v>
      </c>
      <c r="AM70" s="71">
        <f t="shared" si="112"/>
        <v>0.30769230769230771</v>
      </c>
      <c r="AN70" s="67">
        <v>8</v>
      </c>
      <c r="AO70" s="68">
        <v>4</v>
      </c>
      <c r="AP70" s="69">
        <v>166</v>
      </c>
      <c r="AQ70" s="69">
        <v>40</v>
      </c>
      <c r="AR70" s="70">
        <f t="shared" si="113"/>
        <v>174</v>
      </c>
      <c r="AS70" s="70">
        <f t="shared" si="114"/>
        <v>44</v>
      </c>
      <c r="AT70" s="71">
        <f t="shared" si="115"/>
        <v>0.25287356321839083</v>
      </c>
      <c r="AU70" s="67">
        <v>32</v>
      </c>
      <c r="AV70" s="68">
        <v>18</v>
      </c>
      <c r="AW70" s="69">
        <v>23</v>
      </c>
      <c r="AX70" s="69">
        <v>13</v>
      </c>
      <c r="AY70" s="70">
        <f t="shared" si="116"/>
        <v>55</v>
      </c>
      <c r="AZ70" s="70">
        <f t="shared" si="117"/>
        <v>31</v>
      </c>
      <c r="BA70" s="71">
        <f t="shared" si="118"/>
        <v>0.5636363636363636</v>
      </c>
      <c r="BB70" s="67">
        <v>14</v>
      </c>
      <c r="BC70" s="68">
        <v>7</v>
      </c>
      <c r="BD70" s="69">
        <v>44</v>
      </c>
      <c r="BE70" s="69">
        <v>18</v>
      </c>
      <c r="BF70" s="70">
        <f t="shared" si="119"/>
        <v>58</v>
      </c>
      <c r="BG70" s="70">
        <f t="shared" si="120"/>
        <v>25</v>
      </c>
      <c r="BH70" s="71">
        <f t="shared" si="121"/>
        <v>0.43103448275862066</v>
      </c>
      <c r="BI70" s="67">
        <v>0</v>
      </c>
      <c r="BJ70" s="68">
        <v>0</v>
      </c>
      <c r="BK70" s="69">
        <v>0</v>
      </c>
      <c r="BL70" s="69">
        <v>0</v>
      </c>
      <c r="BM70" s="70">
        <f t="shared" si="122"/>
        <v>0</v>
      </c>
      <c r="BN70" s="70">
        <f t="shared" si="123"/>
        <v>0</v>
      </c>
      <c r="BO70" s="71" t="str">
        <f t="shared" si="124"/>
        <v>-</v>
      </c>
      <c r="BP70" s="67">
        <v>11</v>
      </c>
      <c r="BQ70" s="68">
        <v>3</v>
      </c>
      <c r="BR70" s="69">
        <v>51</v>
      </c>
      <c r="BS70" s="69">
        <v>12</v>
      </c>
      <c r="BT70" s="70">
        <f t="shared" si="125"/>
        <v>62</v>
      </c>
      <c r="BU70" s="70">
        <f t="shared" si="126"/>
        <v>15</v>
      </c>
      <c r="BV70" s="71">
        <f t="shared" si="127"/>
        <v>0.24193548387096775</v>
      </c>
      <c r="BW70" s="67">
        <f t="shared" si="140"/>
        <v>125</v>
      </c>
      <c r="BX70" s="68">
        <f t="shared" si="141"/>
        <v>54</v>
      </c>
      <c r="BY70" s="72">
        <f t="shared" si="142"/>
        <v>0.432</v>
      </c>
      <c r="BZ70" s="73">
        <f t="shared" si="143"/>
        <v>391</v>
      </c>
      <c r="CA70" s="69">
        <f t="shared" si="144"/>
        <v>118</v>
      </c>
      <c r="CB70" s="74">
        <f t="shared" si="145"/>
        <v>0.30179028132992325</v>
      </c>
      <c r="CC70" s="75">
        <f t="shared" si="146"/>
        <v>516</v>
      </c>
      <c r="CD70" s="76">
        <f t="shared" si="147"/>
        <v>172</v>
      </c>
      <c r="CE70" s="84">
        <f t="shared" si="148"/>
        <v>0.33333333333333331</v>
      </c>
      <c r="CF70" s="83">
        <v>0</v>
      </c>
      <c r="CG70" s="78">
        <v>0</v>
      </c>
      <c r="CH70" s="85" t="str">
        <f t="shared" si="153"/>
        <v>-</v>
      </c>
    </row>
    <row r="71" spans="1:86" s="17" customFormat="1" ht="21" customHeight="1" x14ac:dyDescent="0.2">
      <c r="A71" s="103">
        <v>21</v>
      </c>
      <c r="B71" s="104" t="s">
        <v>2</v>
      </c>
      <c r="C71" s="65" t="s">
        <v>15</v>
      </c>
      <c r="D71" s="66" t="s">
        <v>16</v>
      </c>
      <c r="E71" s="67">
        <v>0</v>
      </c>
      <c r="F71" s="68">
        <v>0</v>
      </c>
      <c r="G71" s="69">
        <v>0</v>
      </c>
      <c r="H71" s="69">
        <v>0</v>
      </c>
      <c r="I71" s="70">
        <f t="shared" si="137"/>
        <v>0</v>
      </c>
      <c r="J71" s="70">
        <f t="shared" si="138"/>
        <v>0</v>
      </c>
      <c r="K71" s="71" t="str">
        <f t="shared" si="139"/>
        <v>-</v>
      </c>
      <c r="L71" s="67">
        <v>18</v>
      </c>
      <c r="M71" s="68">
        <v>12</v>
      </c>
      <c r="N71" s="69">
        <v>11</v>
      </c>
      <c r="O71" s="69">
        <v>9</v>
      </c>
      <c r="P71" s="70">
        <f t="shared" si="101"/>
        <v>29</v>
      </c>
      <c r="Q71" s="70">
        <f t="shared" si="102"/>
        <v>21</v>
      </c>
      <c r="R71" s="71">
        <f t="shared" si="103"/>
        <v>0.72413793103448276</v>
      </c>
      <c r="S71" s="67">
        <v>0</v>
      </c>
      <c r="T71" s="68">
        <v>0</v>
      </c>
      <c r="U71" s="69">
        <v>0</v>
      </c>
      <c r="V71" s="69">
        <v>0</v>
      </c>
      <c r="W71" s="70">
        <f t="shared" si="104"/>
        <v>0</v>
      </c>
      <c r="X71" s="70">
        <f t="shared" si="105"/>
        <v>0</v>
      </c>
      <c r="Y71" s="71" t="str">
        <f t="shared" si="106"/>
        <v>-</v>
      </c>
      <c r="Z71" s="67">
        <v>0</v>
      </c>
      <c r="AA71" s="68">
        <v>0</v>
      </c>
      <c r="AB71" s="69">
        <v>0</v>
      </c>
      <c r="AC71" s="69">
        <v>0</v>
      </c>
      <c r="AD71" s="70">
        <f t="shared" si="107"/>
        <v>0</v>
      </c>
      <c r="AE71" s="70">
        <f t="shared" si="108"/>
        <v>0</v>
      </c>
      <c r="AF71" s="71" t="str">
        <f t="shared" si="109"/>
        <v>-</v>
      </c>
      <c r="AG71" s="67">
        <v>15</v>
      </c>
      <c r="AH71" s="68">
        <v>6</v>
      </c>
      <c r="AI71" s="69">
        <v>37</v>
      </c>
      <c r="AJ71" s="69">
        <v>35</v>
      </c>
      <c r="AK71" s="70">
        <f t="shared" si="110"/>
        <v>52</v>
      </c>
      <c r="AL71" s="70">
        <f t="shared" si="111"/>
        <v>41</v>
      </c>
      <c r="AM71" s="71">
        <f t="shared" si="112"/>
        <v>0.78846153846153844</v>
      </c>
      <c r="AN71" s="67">
        <v>4</v>
      </c>
      <c r="AO71" s="68">
        <v>2</v>
      </c>
      <c r="AP71" s="69">
        <v>43</v>
      </c>
      <c r="AQ71" s="69">
        <v>33</v>
      </c>
      <c r="AR71" s="70">
        <f t="shared" si="113"/>
        <v>47</v>
      </c>
      <c r="AS71" s="70">
        <f t="shared" si="114"/>
        <v>35</v>
      </c>
      <c r="AT71" s="71">
        <f t="shared" si="115"/>
        <v>0.74468085106382975</v>
      </c>
      <c r="AU71" s="67">
        <v>0</v>
      </c>
      <c r="AV71" s="68">
        <v>0</v>
      </c>
      <c r="AW71" s="69">
        <v>0</v>
      </c>
      <c r="AX71" s="69">
        <v>0</v>
      </c>
      <c r="AY71" s="70">
        <f t="shared" si="116"/>
        <v>0</v>
      </c>
      <c r="AZ71" s="70">
        <f t="shared" si="117"/>
        <v>0</v>
      </c>
      <c r="BA71" s="71" t="str">
        <f t="shared" si="118"/>
        <v>-</v>
      </c>
      <c r="BB71" s="67">
        <v>6</v>
      </c>
      <c r="BC71" s="68">
        <v>4</v>
      </c>
      <c r="BD71" s="69">
        <v>27</v>
      </c>
      <c r="BE71" s="69">
        <v>22</v>
      </c>
      <c r="BF71" s="70">
        <f t="shared" si="119"/>
        <v>33</v>
      </c>
      <c r="BG71" s="70">
        <f t="shared" si="120"/>
        <v>26</v>
      </c>
      <c r="BH71" s="71">
        <f t="shared" si="121"/>
        <v>0.78787878787878785</v>
      </c>
      <c r="BI71" s="67">
        <v>0</v>
      </c>
      <c r="BJ71" s="68">
        <v>0</v>
      </c>
      <c r="BK71" s="69">
        <v>0</v>
      </c>
      <c r="BL71" s="69">
        <v>0</v>
      </c>
      <c r="BM71" s="70">
        <f t="shared" si="122"/>
        <v>0</v>
      </c>
      <c r="BN71" s="70">
        <f t="shared" si="123"/>
        <v>0</v>
      </c>
      <c r="BO71" s="71" t="str">
        <f t="shared" si="124"/>
        <v>-</v>
      </c>
      <c r="BP71" s="67">
        <v>0</v>
      </c>
      <c r="BQ71" s="68">
        <v>0</v>
      </c>
      <c r="BR71" s="69">
        <v>0</v>
      </c>
      <c r="BS71" s="69">
        <v>0</v>
      </c>
      <c r="BT71" s="70">
        <f t="shared" si="125"/>
        <v>0</v>
      </c>
      <c r="BU71" s="70">
        <f t="shared" si="126"/>
        <v>0</v>
      </c>
      <c r="BV71" s="71" t="str">
        <f t="shared" si="127"/>
        <v>-</v>
      </c>
      <c r="BW71" s="67">
        <f t="shared" si="140"/>
        <v>43</v>
      </c>
      <c r="BX71" s="68">
        <f t="shared" si="141"/>
        <v>24</v>
      </c>
      <c r="BY71" s="72">
        <f t="shared" si="142"/>
        <v>0.55813953488372092</v>
      </c>
      <c r="BZ71" s="73">
        <f t="shared" si="143"/>
        <v>118</v>
      </c>
      <c r="CA71" s="69">
        <f t="shared" si="144"/>
        <v>99</v>
      </c>
      <c r="CB71" s="74">
        <f t="shared" si="145"/>
        <v>0.83898305084745761</v>
      </c>
      <c r="CC71" s="75">
        <f t="shared" si="146"/>
        <v>161</v>
      </c>
      <c r="CD71" s="76">
        <f t="shared" si="147"/>
        <v>123</v>
      </c>
      <c r="CE71" s="84">
        <f t="shared" si="148"/>
        <v>0.7639751552795031</v>
      </c>
      <c r="CF71" s="83">
        <v>0</v>
      </c>
      <c r="CG71" s="78">
        <v>0</v>
      </c>
      <c r="CH71" s="85" t="str">
        <f t="shared" si="153"/>
        <v>-</v>
      </c>
    </row>
    <row r="72" spans="1:86" s="17" customFormat="1" ht="21" customHeight="1" x14ac:dyDescent="0.2">
      <c r="A72" s="103">
        <v>22</v>
      </c>
      <c r="B72" s="104" t="s">
        <v>44</v>
      </c>
      <c r="C72" s="65" t="s">
        <v>15</v>
      </c>
      <c r="D72" s="66" t="s">
        <v>16</v>
      </c>
      <c r="E72" s="67">
        <v>0</v>
      </c>
      <c r="F72" s="68">
        <v>0</v>
      </c>
      <c r="G72" s="69">
        <v>0</v>
      </c>
      <c r="H72" s="69">
        <v>0</v>
      </c>
      <c r="I72" s="70">
        <f t="shared" si="137"/>
        <v>0</v>
      </c>
      <c r="J72" s="70">
        <f t="shared" si="138"/>
        <v>0</v>
      </c>
      <c r="K72" s="71" t="str">
        <f t="shared" si="139"/>
        <v>-</v>
      </c>
      <c r="L72" s="67">
        <v>23</v>
      </c>
      <c r="M72" s="68">
        <v>0</v>
      </c>
      <c r="N72" s="69">
        <v>16</v>
      </c>
      <c r="O72" s="69">
        <v>0</v>
      </c>
      <c r="P72" s="70">
        <f t="shared" si="101"/>
        <v>39</v>
      </c>
      <c r="Q72" s="70">
        <f t="shared" si="102"/>
        <v>0</v>
      </c>
      <c r="R72" s="71">
        <f t="shared" si="103"/>
        <v>0</v>
      </c>
      <c r="S72" s="67">
        <v>0</v>
      </c>
      <c r="T72" s="68">
        <v>0</v>
      </c>
      <c r="U72" s="69">
        <v>0</v>
      </c>
      <c r="V72" s="69">
        <v>0</v>
      </c>
      <c r="W72" s="70">
        <f t="shared" si="104"/>
        <v>0</v>
      </c>
      <c r="X72" s="70">
        <f t="shared" si="105"/>
        <v>0</v>
      </c>
      <c r="Y72" s="71" t="str">
        <f t="shared" si="106"/>
        <v>-</v>
      </c>
      <c r="Z72" s="67">
        <v>0</v>
      </c>
      <c r="AA72" s="68">
        <v>0</v>
      </c>
      <c r="AB72" s="69">
        <v>0</v>
      </c>
      <c r="AC72" s="69">
        <v>0</v>
      </c>
      <c r="AD72" s="70">
        <f t="shared" si="107"/>
        <v>0</v>
      </c>
      <c r="AE72" s="70">
        <f t="shared" si="108"/>
        <v>0</v>
      </c>
      <c r="AF72" s="71" t="str">
        <f t="shared" si="109"/>
        <v>-</v>
      </c>
      <c r="AG72" s="67">
        <v>34</v>
      </c>
      <c r="AH72" s="68">
        <v>13</v>
      </c>
      <c r="AI72" s="69">
        <v>79</v>
      </c>
      <c r="AJ72" s="69">
        <v>23</v>
      </c>
      <c r="AK72" s="70">
        <f t="shared" si="110"/>
        <v>113</v>
      </c>
      <c r="AL72" s="70">
        <f t="shared" si="111"/>
        <v>36</v>
      </c>
      <c r="AM72" s="71">
        <f t="shared" si="112"/>
        <v>0.31858407079646017</v>
      </c>
      <c r="AN72" s="67">
        <v>25</v>
      </c>
      <c r="AO72" s="68">
        <v>15</v>
      </c>
      <c r="AP72" s="69">
        <v>82</v>
      </c>
      <c r="AQ72" s="69">
        <v>17</v>
      </c>
      <c r="AR72" s="70">
        <f t="shared" si="113"/>
        <v>107</v>
      </c>
      <c r="AS72" s="70">
        <f t="shared" si="114"/>
        <v>32</v>
      </c>
      <c r="AT72" s="71">
        <f t="shared" si="115"/>
        <v>0.29906542056074764</v>
      </c>
      <c r="AU72" s="67">
        <v>52</v>
      </c>
      <c r="AV72" s="68">
        <v>42</v>
      </c>
      <c r="AW72" s="69">
        <v>1</v>
      </c>
      <c r="AX72" s="69">
        <v>1</v>
      </c>
      <c r="AY72" s="70">
        <f t="shared" si="116"/>
        <v>53</v>
      </c>
      <c r="AZ72" s="70">
        <f t="shared" si="117"/>
        <v>43</v>
      </c>
      <c r="BA72" s="71">
        <f t="shared" si="118"/>
        <v>0.81132075471698117</v>
      </c>
      <c r="BB72" s="67">
        <v>0</v>
      </c>
      <c r="BC72" s="68">
        <v>0</v>
      </c>
      <c r="BD72" s="69">
        <v>0</v>
      </c>
      <c r="BE72" s="69">
        <v>0</v>
      </c>
      <c r="BF72" s="70">
        <f t="shared" si="119"/>
        <v>0</v>
      </c>
      <c r="BG72" s="70">
        <f t="shared" si="120"/>
        <v>0</v>
      </c>
      <c r="BH72" s="71" t="str">
        <f t="shared" si="121"/>
        <v>-</v>
      </c>
      <c r="BI72" s="67">
        <v>21</v>
      </c>
      <c r="BJ72" s="68">
        <v>2</v>
      </c>
      <c r="BK72" s="69">
        <v>14</v>
      </c>
      <c r="BL72" s="69">
        <v>1</v>
      </c>
      <c r="BM72" s="70">
        <f t="shared" si="122"/>
        <v>35</v>
      </c>
      <c r="BN72" s="70">
        <f t="shared" si="123"/>
        <v>3</v>
      </c>
      <c r="BO72" s="71">
        <f t="shared" si="124"/>
        <v>8.5714285714285715E-2</v>
      </c>
      <c r="BP72" s="67">
        <v>36</v>
      </c>
      <c r="BQ72" s="68">
        <v>3</v>
      </c>
      <c r="BR72" s="69">
        <v>5</v>
      </c>
      <c r="BS72" s="69">
        <v>4</v>
      </c>
      <c r="BT72" s="70">
        <f t="shared" si="125"/>
        <v>41</v>
      </c>
      <c r="BU72" s="70">
        <f t="shared" si="126"/>
        <v>7</v>
      </c>
      <c r="BV72" s="71">
        <f t="shared" si="127"/>
        <v>0.17073170731707318</v>
      </c>
      <c r="BW72" s="67">
        <f t="shared" si="140"/>
        <v>191</v>
      </c>
      <c r="BX72" s="68">
        <f t="shared" si="141"/>
        <v>75</v>
      </c>
      <c r="BY72" s="72">
        <f t="shared" si="142"/>
        <v>0.39267015706806285</v>
      </c>
      <c r="BZ72" s="73">
        <f t="shared" si="143"/>
        <v>197</v>
      </c>
      <c r="CA72" s="69">
        <f t="shared" si="144"/>
        <v>46</v>
      </c>
      <c r="CB72" s="74">
        <f t="shared" si="145"/>
        <v>0.233502538071066</v>
      </c>
      <c r="CC72" s="75">
        <f t="shared" si="146"/>
        <v>388</v>
      </c>
      <c r="CD72" s="76">
        <f t="shared" si="147"/>
        <v>121</v>
      </c>
      <c r="CE72" s="84">
        <f t="shared" si="148"/>
        <v>0.31185567010309279</v>
      </c>
      <c r="CF72" s="83">
        <v>0</v>
      </c>
      <c r="CG72" s="78">
        <v>0</v>
      </c>
      <c r="CH72" s="85" t="str">
        <f t="shared" si="153"/>
        <v>-</v>
      </c>
    </row>
    <row r="73" spans="1:86" s="17" customFormat="1" ht="21" customHeight="1" x14ac:dyDescent="0.2">
      <c r="A73" s="103">
        <v>23</v>
      </c>
      <c r="B73" s="104" t="s">
        <v>53</v>
      </c>
      <c r="C73" s="65" t="s">
        <v>15</v>
      </c>
      <c r="D73" s="66" t="s">
        <v>16</v>
      </c>
      <c r="E73" s="67">
        <v>113</v>
      </c>
      <c r="F73" s="68">
        <v>32</v>
      </c>
      <c r="G73" s="69">
        <v>0</v>
      </c>
      <c r="H73" s="69">
        <v>0</v>
      </c>
      <c r="I73" s="70">
        <f t="shared" si="137"/>
        <v>113</v>
      </c>
      <c r="J73" s="70">
        <f t="shared" si="138"/>
        <v>32</v>
      </c>
      <c r="K73" s="71">
        <f t="shared" si="139"/>
        <v>0.2831858407079646</v>
      </c>
      <c r="L73" s="67">
        <v>41</v>
      </c>
      <c r="M73" s="68">
        <v>15</v>
      </c>
      <c r="N73" s="69">
        <v>0</v>
      </c>
      <c r="O73" s="69">
        <v>0</v>
      </c>
      <c r="P73" s="70">
        <f t="shared" si="101"/>
        <v>41</v>
      </c>
      <c r="Q73" s="70">
        <f t="shared" si="102"/>
        <v>15</v>
      </c>
      <c r="R73" s="71">
        <f t="shared" si="103"/>
        <v>0.36585365853658536</v>
      </c>
      <c r="S73" s="67">
        <v>0</v>
      </c>
      <c r="T73" s="68">
        <v>0</v>
      </c>
      <c r="U73" s="69">
        <v>0</v>
      </c>
      <c r="V73" s="69">
        <v>0</v>
      </c>
      <c r="W73" s="70">
        <f t="shared" si="104"/>
        <v>0</v>
      </c>
      <c r="X73" s="70">
        <f t="shared" si="105"/>
        <v>0</v>
      </c>
      <c r="Y73" s="71" t="str">
        <f t="shared" si="106"/>
        <v>-</v>
      </c>
      <c r="Z73" s="67">
        <v>0</v>
      </c>
      <c r="AA73" s="68">
        <v>0</v>
      </c>
      <c r="AB73" s="69">
        <v>0</v>
      </c>
      <c r="AC73" s="69">
        <v>0</v>
      </c>
      <c r="AD73" s="70">
        <f t="shared" si="107"/>
        <v>0</v>
      </c>
      <c r="AE73" s="70">
        <f t="shared" si="108"/>
        <v>0</v>
      </c>
      <c r="AF73" s="71" t="str">
        <f t="shared" si="109"/>
        <v>-</v>
      </c>
      <c r="AG73" s="67">
        <v>0</v>
      </c>
      <c r="AH73" s="68">
        <v>0</v>
      </c>
      <c r="AI73" s="69">
        <v>0</v>
      </c>
      <c r="AJ73" s="69">
        <v>0</v>
      </c>
      <c r="AK73" s="70">
        <f t="shared" si="110"/>
        <v>0</v>
      </c>
      <c r="AL73" s="70">
        <f t="shared" si="111"/>
        <v>0</v>
      </c>
      <c r="AM73" s="71" t="str">
        <f t="shared" si="112"/>
        <v>-</v>
      </c>
      <c r="AN73" s="67">
        <v>0</v>
      </c>
      <c r="AO73" s="68">
        <v>0</v>
      </c>
      <c r="AP73" s="69">
        <v>0</v>
      </c>
      <c r="AQ73" s="69">
        <v>0</v>
      </c>
      <c r="AR73" s="70">
        <f t="shared" si="113"/>
        <v>0</v>
      </c>
      <c r="AS73" s="70">
        <f t="shared" si="114"/>
        <v>0</v>
      </c>
      <c r="AT73" s="71" t="str">
        <f t="shared" si="115"/>
        <v>-</v>
      </c>
      <c r="AU73" s="67">
        <v>0</v>
      </c>
      <c r="AV73" s="68">
        <v>0</v>
      </c>
      <c r="AW73" s="69">
        <v>0</v>
      </c>
      <c r="AX73" s="69">
        <v>0</v>
      </c>
      <c r="AY73" s="70">
        <f t="shared" si="116"/>
        <v>0</v>
      </c>
      <c r="AZ73" s="70">
        <f t="shared" si="117"/>
        <v>0</v>
      </c>
      <c r="BA73" s="71" t="str">
        <f t="shared" si="118"/>
        <v>-</v>
      </c>
      <c r="BB73" s="67">
        <v>0</v>
      </c>
      <c r="BC73" s="68">
        <v>0</v>
      </c>
      <c r="BD73" s="69">
        <v>0</v>
      </c>
      <c r="BE73" s="69">
        <v>0</v>
      </c>
      <c r="BF73" s="70">
        <f t="shared" si="119"/>
        <v>0</v>
      </c>
      <c r="BG73" s="70">
        <f t="shared" si="120"/>
        <v>0</v>
      </c>
      <c r="BH73" s="71" t="str">
        <f t="shared" si="121"/>
        <v>-</v>
      </c>
      <c r="BI73" s="67">
        <v>0</v>
      </c>
      <c r="BJ73" s="68">
        <v>0</v>
      </c>
      <c r="BK73" s="69">
        <v>0</v>
      </c>
      <c r="BL73" s="69">
        <v>0</v>
      </c>
      <c r="BM73" s="70">
        <f t="shared" si="122"/>
        <v>0</v>
      </c>
      <c r="BN73" s="70">
        <f t="shared" si="123"/>
        <v>0</v>
      </c>
      <c r="BO73" s="71" t="str">
        <f t="shared" si="124"/>
        <v>-</v>
      </c>
      <c r="BP73" s="67">
        <v>0</v>
      </c>
      <c r="BQ73" s="68">
        <v>0</v>
      </c>
      <c r="BR73" s="69">
        <v>0</v>
      </c>
      <c r="BS73" s="69">
        <v>0</v>
      </c>
      <c r="BT73" s="70">
        <f t="shared" si="125"/>
        <v>0</v>
      </c>
      <c r="BU73" s="70">
        <f t="shared" si="126"/>
        <v>0</v>
      </c>
      <c r="BV73" s="71" t="str">
        <f t="shared" si="127"/>
        <v>-</v>
      </c>
      <c r="BW73" s="67">
        <f t="shared" si="140"/>
        <v>154</v>
      </c>
      <c r="BX73" s="68">
        <f t="shared" si="141"/>
        <v>47</v>
      </c>
      <c r="BY73" s="72">
        <f t="shared" si="142"/>
        <v>0.30519480519480519</v>
      </c>
      <c r="BZ73" s="73">
        <f t="shared" si="143"/>
        <v>0</v>
      </c>
      <c r="CA73" s="69">
        <f t="shared" si="144"/>
        <v>0</v>
      </c>
      <c r="CB73" s="74" t="str">
        <f t="shared" si="145"/>
        <v>-</v>
      </c>
      <c r="CC73" s="75">
        <f t="shared" si="146"/>
        <v>154</v>
      </c>
      <c r="CD73" s="76">
        <f t="shared" si="147"/>
        <v>47</v>
      </c>
      <c r="CE73" s="84">
        <f t="shared" si="148"/>
        <v>0.30519480519480519</v>
      </c>
      <c r="CF73" s="83">
        <v>0</v>
      </c>
      <c r="CG73" s="78">
        <v>0</v>
      </c>
      <c r="CH73" s="85" t="str">
        <f t="shared" si="153"/>
        <v>-</v>
      </c>
    </row>
    <row r="74" spans="1:86" s="17" customFormat="1" ht="21" customHeight="1" x14ac:dyDescent="0.2">
      <c r="A74" s="103">
        <v>24</v>
      </c>
      <c r="B74" s="104" t="s">
        <v>1</v>
      </c>
      <c r="C74" s="65" t="s">
        <v>15</v>
      </c>
      <c r="D74" s="66" t="s">
        <v>16</v>
      </c>
      <c r="E74" s="67">
        <v>0</v>
      </c>
      <c r="F74" s="68">
        <v>0</v>
      </c>
      <c r="G74" s="69">
        <v>0</v>
      </c>
      <c r="H74" s="69">
        <v>0</v>
      </c>
      <c r="I74" s="70">
        <f t="shared" si="137"/>
        <v>0</v>
      </c>
      <c r="J74" s="70">
        <f t="shared" si="138"/>
        <v>0</v>
      </c>
      <c r="K74" s="71" t="str">
        <f t="shared" si="139"/>
        <v>-</v>
      </c>
      <c r="L74" s="67">
        <v>0</v>
      </c>
      <c r="M74" s="68">
        <v>0</v>
      </c>
      <c r="N74" s="69">
        <v>0</v>
      </c>
      <c r="O74" s="69">
        <v>0</v>
      </c>
      <c r="P74" s="70">
        <f t="shared" si="101"/>
        <v>0</v>
      </c>
      <c r="Q74" s="70">
        <f t="shared" si="102"/>
        <v>0</v>
      </c>
      <c r="R74" s="71" t="str">
        <f t="shared" si="103"/>
        <v>-</v>
      </c>
      <c r="S74" s="67">
        <v>17</v>
      </c>
      <c r="T74" s="68">
        <v>4</v>
      </c>
      <c r="U74" s="69">
        <v>13</v>
      </c>
      <c r="V74" s="69">
        <v>6</v>
      </c>
      <c r="W74" s="70">
        <f t="shared" si="104"/>
        <v>30</v>
      </c>
      <c r="X74" s="70">
        <f t="shared" si="105"/>
        <v>10</v>
      </c>
      <c r="Y74" s="71">
        <f t="shared" si="106"/>
        <v>0.33333333333333331</v>
      </c>
      <c r="Z74" s="67">
        <v>0</v>
      </c>
      <c r="AA74" s="68">
        <v>0</v>
      </c>
      <c r="AB74" s="69">
        <v>0</v>
      </c>
      <c r="AC74" s="69">
        <v>0</v>
      </c>
      <c r="AD74" s="70">
        <f t="shared" si="107"/>
        <v>0</v>
      </c>
      <c r="AE74" s="70">
        <f t="shared" si="108"/>
        <v>0</v>
      </c>
      <c r="AF74" s="71" t="str">
        <f t="shared" si="109"/>
        <v>-</v>
      </c>
      <c r="AG74" s="67">
        <v>39</v>
      </c>
      <c r="AH74" s="68">
        <v>10</v>
      </c>
      <c r="AI74" s="69">
        <v>40</v>
      </c>
      <c r="AJ74" s="69">
        <v>17</v>
      </c>
      <c r="AK74" s="70">
        <f t="shared" si="110"/>
        <v>79</v>
      </c>
      <c r="AL74" s="70">
        <f t="shared" si="111"/>
        <v>27</v>
      </c>
      <c r="AM74" s="71">
        <f t="shared" si="112"/>
        <v>0.34177215189873417</v>
      </c>
      <c r="AN74" s="67">
        <v>20</v>
      </c>
      <c r="AO74" s="68">
        <v>3</v>
      </c>
      <c r="AP74" s="69">
        <v>20</v>
      </c>
      <c r="AQ74" s="69">
        <v>5</v>
      </c>
      <c r="AR74" s="70">
        <f t="shared" si="113"/>
        <v>40</v>
      </c>
      <c r="AS74" s="70">
        <f t="shared" si="114"/>
        <v>8</v>
      </c>
      <c r="AT74" s="71">
        <f t="shared" si="115"/>
        <v>0.2</v>
      </c>
      <c r="AU74" s="67">
        <v>33</v>
      </c>
      <c r="AV74" s="68">
        <v>21</v>
      </c>
      <c r="AW74" s="69">
        <v>13</v>
      </c>
      <c r="AX74" s="69">
        <v>10</v>
      </c>
      <c r="AY74" s="70">
        <f t="shared" si="116"/>
        <v>46</v>
      </c>
      <c r="AZ74" s="70">
        <f t="shared" si="117"/>
        <v>31</v>
      </c>
      <c r="BA74" s="71">
        <f t="shared" si="118"/>
        <v>0.67391304347826086</v>
      </c>
      <c r="BB74" s="67">
        <v>0</v>
      </c>
      <c r="BC74" s="68">
        <v>0</v>
      </c>
      <c r="BD74" s="69">
        <v>0</v>
      </c>
      <c r="BE74" s="69">
        <v>0</v>
      </c>
      <c r="BF74" s="70">
        <f t="shared" si="119"/>
        <v>0</v>
      </c>
      <c r="BG74" s="70">
        <f t="shared" si="120"/>
        <v>0</v>
      </c>
      <c r="BH74" s="71" t="str">
        <f t="shared" si="121"/>
        <v>-</v>
      </c>
      <c r="BI74" s="67">
        <v>24</v>
      </c>
      <c r="BJ74" s="68">
        <v>5</v>
      </c>
      <c r="BK74" s="69">
        <v>14</v>
      </c>
      <c r="BL74" s="69">
        <v>2</v>
      </c>
      <c r="BM74" s="70">
        <f t="shared" si="122"/>
        <v>38</v>
      </c>
      <c r="BN74" s="70">
        <f t="shared" si="123"/>
        <v>7</v>
      </c>
      <c r="BO74" s="71">
        <f t="shared" si="124"/>
        <v>0.18421052631578946</v>
      </c>
      <c r="BP74" s="67">
        <v>0</v>
      </c>
      <c r="BQ74" s="68">
        <v>0</v>
      </c>
      <c r="BR74" s="69">
        <v>0</v>
      </c>
      <c r="BS74" s="69">
        <v>0</v>
      </c>
      <c r="BT74" s="70">
        <f t="shared" si="125"/>
        <v>0</v>
      </c>
      <c r="BU74" s="70">
        <f t="shared" si="126"/>
        <v>0</v>
      </c>
      <c r="BV74" s="71" t="str">
        <f t="shared" si="127"/>
        <v>-</v>
      </c>
      <c r="BW74" s="67">
        <f t="shared" si="140"/>
        <v>133</v>
      </c>
      <c r="BX74" s="68">
        <f t="shared" si="141"/>
        <v>43</v>
      </c>
      <c r="BY74" s="72">
        <f t="shared" si="142"/>
        <v>0.32330827067669171</v>
      </c>
      <c r="BZ74" s="73">
        <f t="shared" si="143"/>
        <v>100</v>
      </c>
      <c r="CA74" s="69">
        <f t="shared" si="144"/>
        <v>40</v>
      </c>
      <c r="CB74" s="74">
        <f t="shared" si="145"/>
        <v>0.4</v>
      </c>
      <c r="CC74" s="75">
        <f t="shared" si="146"/>
        <v>233</v>
      </c>
      <c r="CD74" s="76">
        <f t="shared" si="147"/>
        <v>83</v>
      </c>
      <c r="CE74" s="84">
        <f t="shared" si="148"/>
        <v>0.35622317596566522</v>
      </c>
      <c r="CF74" s="83">
        <v>0</v>
      </c>
      <c r="CG74" s="78">
        <v>0</v>
      </c>
      <c r="CH74" s="85" t="str">
        <f t="shared" si="153"/>
        <v>-</v>
      </c>
    </row>
    <row r="75" spans="1:86" s="17" customFormat="1" ht="21" customHeight="1" x14ac:dyDescent="0.2">
      <c r="A75" s="103">
        <v>25</v>
      </c>
      <c r="B75" s="104" t="s">
        <v>54</v>
      </c>
      <c r="C75" s="65" t="s">
        <v>15</v>
      </c>
      <c r="D75" s="66" t="s">
        <v>16</v>
      </c>
      <c r="E75" s="67">
        <v>0</v>
      </c>
      <c r="F75" s="68">
        <v>0</v>
      </c>
      <c r="G75" s="69">
        <v>0</v>
      </c>
      <c r="H75" s="69">
        <v>0</v>
      </c>
      <c r="I75" s="70">
        <f t="shared" si="137"/>
        <v>0</v>
      </c>
      <c r="J75" s="70">
        <f t="shared" si="138"/>
        <v>0</v>
      </c>
      <c r="K75" s="71" t="str">
        <f t="shared" si="139"/>
        <v>-</v>
      </c>
      <c r="L75" s="67">
        <v>0</v>
      </c>
      <c r="M75" s="68">
        <v>0</v>
      </c>
      <c r="N75" s="69">
        <v>0</v>
      </c>
      <c r="O75" s="69">
        <v>0</v>
      </c>
      <c r="P75" s="70">
        <f t="shared" si="101"/>
        <v>0</v>
      </c>
      <c r="Q75" s="70">
        <f t="shared" si="102"/>
        <v>0</v>
      </c>
      <c r="R75" s="71" t="str">
        <f t="shared" si="103"/>
        <v>-</v>
      </c>
      <c r="S75" s="67">
        <v>0</v>
      </c>
      <c r="T75" s="68">
        <v>0</v>
      </c>
      <c r="U75" s="69">
        <v>0</v>
      </c>
      <c r="V75" s="69">
        <v>0</v>
      </c>
      <c r="W75" s="70">
        <f t="shared" si="104"/>
        <v>0</v>
      </c>
      <c r="X75" s="70">
        <f t="shared" si="105"/>
        <v>0</v>
      </c>
      <c r="Y75" s="71" t="str">
        <f t="shared" si="106"/>
        <v>-</v>
      </c>
      <c r="Z75" s="67">
        <v>0</v>
      </c>
      <c r="AA75" s="68">
        <v>0</v>
      </c>
      <c r="AB75" s="69">
        <v>0</v>
      </c>
      <c r="AC75" s="69">
        <v>0</v>
      </c>
      <c r="AD75" s="70">
        <f t="shared" si="107"/>
        <v>0</v>
      </c>
      <c r="AE75" s="70">
        <f t="shared" si="108"/>
        <v>0</v>
      </c>
      <c r="AF75" s="71" t="str">
        <f t="shared" si="109"/>
        <v>-</v>
      </c>
      <c r="AG75" s="67">
        <v>10</v>
      </c>
      <c r="AH75" s="68">
        <v>10</v>
      </c>
      <c r="AI75" s="69">
        <v>12</v>
      </c>
      <c r="AJ75" s="69">
        <v>5</v>
      </c>
      <c r="AK75" s="70">
        <f t="shared" si="110"/>
        <v>22</v>
      </c>
      <c r="AL75" s="70">
        <f t="shared" si="111"/>
        <v>15</v>
      </c>
      <c r="AM75" s="71">
        <f t="shared" si="112"/>
        <v>0.68181818181818177</v>
      </c>
      <c r="AN75" s="67">
        <v>9</v>
      </c>
      <c r="AO75" s="68">
        <v>3</v>
      </c>
      <c r="AP75" s="69">
        <v>28</v>
      </c>
      <c r="AQ75" s="69">
        <v>12</v>
      </c>
      <c r="AR75" s="70">
        <f t="shared" si="113"/>
        <v>37</v>
      </c>
      <c r="AS75" s="70">
        <f t="shared" si="114"/>
        <v>15</v>
      </c>
      <c r="AT75" s="71">
        <f t="shared" si="115"/>
        <v>0.40540540540540543</v>
      </c>
      <c r="AU75" s="67">
        <v>0</v>
      </c>
      <c r="AV75" s="68">
        <v>0</v>
      </c>
      <c r="AW75" s="69">
        <v>0</v>
      </c>
      <c r="AX75" s="69">
        <v>0</v>
      </c>
      <c r="AY75" s="70">
        <f t="shared" si="116"/>
        <v>0</v>
      </c>
      <c r="AZ75" s="70">
        <f t="shared" si="117"/>
        <v>0</v>
      </c>
      <c r="BA75" s="71" t="str">
        <f t="shared" si="118"/>
        <v>-</v>
      </c>
      <c r="BB75" s="67">
        <v>0</v>
      </c>
      <c r="BC75" s="68">
        <v>0</v>
      </c>
      <c r="BD75" s="69">
        <v>0</v>
      </c>
      <c r="BE75" s="69">
        <v>0</v>
      </c>
      <c r="BF75" s="70">
        <f t="shared" si="119"/>
        <v>0</v>
      </c>
      <c r="BG75" s="70">
        <f t="shared" si="120"/>
        <v>0</v>
      </c>
      <c r="BH75" s="71" t="str">
        <f t="shared" si="121"/>
        <v>-</v>
      </c>
      <c r="BI75" s="67">
        <v>0</v>
      </c>
      <c r="BJ75" s="68">
        <v>0</v>
      </c>
      <c r="BK75" s="69">
        <v>0</v>
      </c>
      <c r="BL75" s="69">
        <v>0</v>
      </c>
      <c r="BM75" s="70">
        <f t="shared" si="122"/>
        <v>0</v>
      </c>
      <c r="BN75" s="70">
        <f t="shared" si="123"/>
        <v>0</v>
      </c>
      <c r="BO75" s="71" t="str">
        <f t="shared" si="124"/>
        <v>-</v>
      </c>
      <c r="BP75" s="67">
        <v>10</v>
      </c>
      <c r="BQ75" s="68">
        <v>2</v>
      </c>
      <c r="BR75" s="69">
        <v>8</v>
      </c>
      <c r="BS75" s="69">
        <v>4</v>
      </c>
      <c r="BT75" s="70">
        <f t="shared" si="125"/>
        <v>18</v>
      </c>
      <c r="BU75" s="70">
        <f t="shared" si="126"/>
        <v>6</v>
      </c>
      <c r="BV75" s="71">
        <f t="shared" si="127"/>
        <v>0.33333333333333331</v>
      </c>
      <c r="BW75" s="67">
        <f t="shared" si="140"/>
        <v>29</v>
      </c>
      <c r="BX75" s="68">
        <f t="shared" si="141"/>
        <v>15</v>
      </c>
      <c r="BY75" s="72">
        <f t="shared" si="142"/>
        <v>0.51724137931034486</v>
      </c>
      <c r="BZ75" s="73">
        <f t="shared" si="143"/>
        <v>48</v>
      </c>
      <c r="CA75" s="69">
        <f t="shared" si="144"/>
        <v>21</v>
      </c>
      <c r="CB75" s="74">
        <f t="shared" si="145"/>
        <v>0.4375</v>
      </c>
      <c r="CC75" s="75">
        <f t="shared" si="146"/>
        <v>77</v>
      </c>
      <c r="CD75" s="76">
        <f t="shared" si="147"/>
        <v>36</v>
      </c>
      <c r="CE75" s="84">
        <f t="shared" si="148"/>
        <v>0.46753246753246752</v>
      </c>
      <c r="CF75" s="83">
        <v>0</v>
      </c>
      <c r="CG75" s="78">
        <v>0</v>
      </c>
      <c r="CH75" s="85" t="str">
        <f t="shared" si="153"/>
        <v>-</v>
      </c>
    </row>
    <row r="76" spans="1:86" s="17" customFormat="1" ht="21" customHeight="1" x14ac:dyDescent="0.2">
      <c r="A76" s="103">
        <v>26</v>
      </c>
      <c r="B76" s="104" t="s">
        <v>6</v>
      </c>
      <c r="C76" s="65" t="s">
        <v>15</v>
      </c>
      <c r="D76" s="66" t="s">
        <v>16</v>
      </c>
      <c r="E76" s="67">
        <v>0</v>
      </c>
      <c r="F76" s="68">
        <v>0</v>
      </c>
      <c r="G76" s="69">
        <v>0</v>
      </c>
      <c r="H76" s="69">
        <v>0</v>
      </c>
      <c r="I76" s="70">
        <f t="shared" si="137"/>
        <v>0</v>
      </c>
      <c r="J76" s="70">
        <f t="shared" si="138"/>
        <v>0</v>
      </c>
      <c r="K76" s="71" t="str">
        <f t="shared" si="139"/>
        <v>-</v>
      </c>
      <c r="L76" s="67">
        <v>0</v>
      </c>
      <c r="M76" s="68">
        <v>0</v>
      </c>
      <c r="N76" s="69">
        <v>0</v>
      </c>
      <c r="O76" s="69">
        <v>0</v>
      </c>
      <c r="P76" s="70">
        <f t="shared" si="101"/>
        <v>0</v>
      </c>
      <c r="Q76" s="70">
        <f t="shared" si="102"/>
        <v>0</v>
      </c>
      <c r="R76" s="71" t="str">
        <f t="shared" si="103"/>
        <v>-</v>
      </c>
      <c r="S76" s="67">
        <v>4</v>
      </c>
      <c r="T76" s="68">
        <v>4</v>
      </c>
      <c r="U76" s="69">
        <v>2</v>
      </c>
      <c r="V76" s="69">
        <v>2</v>
      </c>
      <c r="W76" s="70">
        <f t="shared" si="104"/>
        <v>6</v>
      </c>
      <c r="X76" s="70">
        <f t="shared" si="105"/>
        <v>6</v>
      </c>
      <c r="Y76" s="71">
        <f t="shared" si="106"/>
        <v>1</v>
      </c>
      <c r="Z76" s="67">
        <v>0</v>
      </c>
      <c r="AA76" s="68">
        <v>0</v>
      </c>
      <c r="AB76" s="69">
        <v>0</v>
      </c>
      <c r="AC76" s="69">
        <v>0</v>
      </c>
      <c r="AD76" s="70">
        <f t="shared" si="107"/>
        <v>0</v>
      </c>
      <c r="AE76" s="70">
        <f t="shared" si="108"/>
        <v>0</v>
      </c>
      <c r="AF76" s="71" t="str">
        <f t="shared" si="109"/>
        <v>-</v>
      </c>
      <c r="AG76" s="67">
        <v>9</v>
      </c>
      <c r="AH76" s="68">
        <v>6</v>
      </c>
      <c r="AI76" s="69">
        <v>11</v>
      </c>
      <c r="AJ76" s="69">
        <v>10</v>
      </c>
      <c r="AK76" s="70">
        <f t="shared" si="110"/>
        <v>20</v>
      </c>
      <c r="AL76" s="70">
        <f t="shared" si="111"/>
        <v>16</v>
      </c>
      <c r="AM76" s="71">
        <f t="shared" si="112"/>
        <v>0.8</v>
      </c>
      <c r="AN76" s="67">
        <v>2</v>
      </c>
      <c r="AO76" s="68">
        <v>1</v>
      </c>
      <c r="AP76" s="69">
        <v>16</v>
      </c>
      <c r="AQ76" s="69">
        <v>10</v>
      </c>
      <c r="AR76" s="70">
        <f t="shared" si="113"/>
        <v>18</v>
      </c>
      <c r="AS76" s="70">
        <f t="shared" si="114"/>
        <v>11</v>
      </c>
      <c r="AT76" s="71">
        <f t="shared" si="115"/>
        <v>0.61111111111111116</v>
      </c>
      <c r="AU76" s="67">
        <v>0</v>
      </c>
      <c r="AV76" s="68">
        <v>0</v>
      </c>
      <c r="AW76" s="69">
        <v>0</v>
      </c>
      <c r="AX76" s="69">
        <v>0</v>
      </c>
      <c r="AY76" s="70">
        <f t="shared" si="116"/>
        <v>0</v>
      </c>
      <c r="AZ76" s="70">
        <f t="shared" si="117"/>
        <v>0</v>
      </c>
      <c r="BA76" s="71" t="str">
        <f t="shared" si="118"/>
        <v>-</v>
      </c>
      <c r="BB76" s="67">
        <v>0</v>
      </c>
      <c r="BC76" s="68">
        <v>0</v>
      </c>
      <c r="BD76" s="69">
        <v>0</v>
      </c>
      <c r="BE76" s="69">
        <v>0</v>
      </c>
      <c r="BF76" s="70">
        <f t="shared" si="119"/>
        <v>0</v>
      </c>
      <c r="BG76" s="70">
        <f t="shared" si="120"/>
        <v>0</v>
      </c>
      <c r="BH76" s="71" t="str">
        <f t="shared" si="121"/>
        <v>-</v>
      </c>
      <c r="BI76" s="67">
        <v>0</v>
      </c>
      <c r="BJ76" s="68">
        <v>0</v>
      </c>
      <c r="BK76" s="69">
        <v>6</v>
      </c>
      <c r="BL76" s="69">
        <v>4</v>
      </c>
      <c r="BM76" s="70">
        <f t="shared" si="122"/>
        <v>6</v>
      </c>
      <c r="BN76" s="70">
        <f t="shared" si="123"/>
        <v>4</v>
      </c>
      <c r="BO76" s="71">
        <f t="shared" si="124"/>
        <v>0.66666666666666663</v>
      </c>
      <c r="BP76" s="67">
        <v>6</v>
      </c>
      <c r="BQ76" s="68">
        <v>5</v>
      </c>
      <c r="BR76" s="69">
        <v>18</v>
      </c>
      <c r="BS76" s="69">
        <v>16</v>
      </c>
      <c r="BT76" s="70">
        <f t="shared" si="125"/>
        <v>24</v>
      </c>
      <c r="BU76" s="70">
        <f t="shared" si="126"/>
        <v>21</v>
      </c>
      <c r="BV76" s="71">
        <f t="shared" si="127"/>
        <v>0.875</v>
      </c>
      <c r="BW76" s="67">
        <f t="shared" si="140"/>
        <v>21</v>
      </c>
      <c r="BX76" s="68">
        <f t="shared" si="141"/>
        <v>16</v>
      </c>
      <c r="BY76" s="72">
        <f t="shared" si="142"/>
        <v>0.76190476190476186</v>
      </c>
      <c r="BZ76" s="73">
        <f t="shared" si="143"/>
        <v>53</v>
      </c>
      <c r="CA76" s="69">
        <f t="shared" si="144"/>
        <v>42</v>
      </c>
      <c r="CB76" s="74">
        <f t="shared" si="145"/>
        <v>0.79245283018867929</v>
      </c>
      <c r="CC76" s="75">
        <f t="shared" si="146"/>
        <v>74</v>
      </c>
      <c r="CD76" s="76">
        <f t="shared" si="147"/>
        <v>58</v>
      </c>
      <c r="CE76" s="84">
        <f t="shared" si="148"/>
        <v>0.78378378378378377</v>
      </c>
      <c r="CF76" s="83">
        <v>0</v>
      </c>
      <c r="CG76" s="78">
        <v>0</v>
      </c>
      <c r="CH76" s="85" t="str">
        <f t="shared" si="153"/>
        <v>-</v>
      </c>
    </row>
    <row r="77" spans="1:86" s="17" customFormat="1" ht="21" customHeight="1" x14ac:dyDescent="0.2">
      <c r="A77" s="103">
        <v>27</v>
      </c>
      <c r="B77" s="104" t="s">
        <v>3</v>
      </c>
      <c r="C77" s="65" t="s">
        <v>15</v>
      </c>
      <c r="D77" s="66" t="s">
        <v>16</v>
      </c>
      <c r="E77" s="67">
        <v>0</v>
      </c>
      <c r="F77" s="68">
        <v>0</v>
      </c>
      <c r="G77" s="69">
        <v>0</v>
      </c>
      <c r="H77" s="69">
        <v>0</v>
      </c>
      <c r="I77" s="70">
        <f t="shared" si="137"/>
        <v>0</v>
      </c>
      <c r="J77" s="70">
        <f t="shared" si="138"/>
        <v>0</v>
      </c>
      <c r="K77" s="71" t="str">
        <f t="shared" si="139"/>
        <v>-</v>
      </c>
      <c r="L77" s="67">
        <v>10</v>
      </c>
      <c r="M77" s="68">
        <v>3</v>
      </c>
      <c r="N77" s="69">
        <v>31</v>
      </c>
      <c r="O77" s="69">
        <v>10</v>
      </c>
      <c r="P77" s="70">
        <f t="shared" si="101"/>
        <v>41</v>
      </c>
      <c r="Q77" s="70">
        <f t="shared" si="102"/>
        <v>13</v>
      </c>
      <c r="R77" s="71">
        <f t="shared" si="103"/>
        <v>0.31707317073170732</v>
      </c>
      <c r="S77" s="67">
        <v>0</v>
      </c>
      <c r="T77" s="68">
        <v>0</v>
      </c>
      <c r="U77" s="69">
        <v>0</v>
      </c>
      <c r="V77" s="69">
        <v>0</v>
      </c>
      <c r="W77" s="70">
        <f t="shared" si="104"/>
        <v>0</v>
      </c>
      <c r="X77" s="70">
        <f t="shared" si="105"/>
        <v>0</v>
      </c>
      <c r="Y77" s="71" t="str">
        <f t="shared" si="106"/>
        <v>-</v>
      </c>
      <c r="Z77" s="67">
        <v>0</v>
      </c>
      <c r="AA77" s="68">
        <v>0</v>
      </c>
      <c r="AB77" s="69">
        <v>0</v>
      </c>
      <c r="AC77" s="69">
        <v>0</v>
      </c>
      <c r="AD77" s="70">
        <f t="shared" si="107"/>
        <v>0</v>
      </c>
      <c r="AE77" s="70">
        <f t="shared" si="108"/>
        <v>0</v>
      </c>
      <c r="AF77" s="71" t="str">
        <f t="shared" si="109"/>
        <v>-</v>
      </c>
      <c r="AG77" s="67">
        <v>10</v>
      </c>
      <c r="AH77" s="68">
        <v>5</v>
      </c>
      <c r="AI77" s="69">
        <v>48</v>
      </c>
      <c r="AJ77" s="69">
        <v>24</v>
      </c>
      <c r="AK77" s="70">
        <f t="shared" si="110"/>
        <v>58</v>
      </c>
      <c r="AL77" s="70">
        <f t="shared" si="111"/>
        <v>29</v>
      </c>
      <c r="AM77" s="71">
        <f t="shared" si="112"/>
        <v>0.5</v>
      </c>
      <c r="AN77" s="67">
        <v>0</v>
      </c>
      <c r="AO77" s="68">
        <v>0</v>
      </c>
      <c r="AP77" s="69">
        <v>35</v>
      </c>
      <c r="AQ77" s="69">
        <v>20</v>
      </c>
      <c r="AR77" s="70">
        <f t="shared" si="113"/>
        <v>35</v>
      </c>
      <c r="AS77" s="70">
        <f t="shared" si="114"/>
        <v>20</v>
      </c>
      <c r="AT77" s="71">
        <f t="shared" si="115"/>
        <v>0.5714285714285714</v>
      </c>
      <c r="AU77" s="67">
        <v>16</v>
      </c>
      <c r="AV77" s="68">
        <v>8</v>
      </c>
      <c r="AW77" s="69">
        <v>48</v>
      </c>
      <c r="AX77" s="69">
        <v>26</v>
      </c>
      <c r="AY77" s="70">
        <f t="shared" si="116"/>
        <v>64</v>
      </c>
      <c r="AZ77" s="70">
        <f t="shared" si="117"/>
        <v>34</v>
      </c>
      <c r="BA77" s="71">
        <f t="shared" si="118"/>
        <v>0.53125</v>
      </c>
      <c r="BB77" s="67">
        <v>5</v>
      </c>
      <c r="BC77" s="68">
        <v>3</v>
      </c>
      <c r="BD77" s="69">
        <v>50</v>
      </c>
      <c r="BE77" s="69">
        <v>16</v>
      </c>
      <c r="BF77" s="70">
        <f t="shared" si="119"/>
        <v>55</v>
      </c>
      <c r="BG77" s="70">
        <f t="shared" si="120"/>
        <v>19</v>
      </c>
      <c r="BH77" s="71">
        <f t="shared" si="121"/>
        <v>0.34545454545454546</v>
      </c>
      <c r="BI77" s="67">
        <v>0</v>
      </c>
      <c r="BJ77" s="68">
        <v>0</v>
      </c>
      <c r="BK77" s="69">
        <v>0</v>
      </c>
      <c r="BL77" s="69">
        <v>0</v>
      </c>
      <c r="BM77" s="70">
        <f t="shared" si="122"/>
        <v>0</v>
      </c>
      <c r="BN77" s="70">
        <f t="shared" si="123"/>
        <v>0</v>
      </c>
      <c r="BO77" s="71" t="str">
        <f t="shared" si="124"/>
        <v>-</v>
      </c>
      <c r="BP77" s="67">
        <v>0</v>
      </c>
      <c r="BQ77" s="68">
        <v>0</v>
      </c>
      <c r="BR77" s="69">
        <v>70</v>
      </c>
      <c r="BS77" s="69">
        <v>28</v>
      </c>
      <c r="BT77" s="70">
        <f t="shared" si="125"/>
        <v>70</v>
      </c>
      <c r="BU77" s="70">
        <f t="shared" si="126"/>
        <v>28</v>
      </c>
      <c r="BV77" s="71">
        <f t="shared" si="127"/>
        <v>0.4</v>
      </c>
      <c r="BW77" s="67">
        <f t="shared" si="140"/>
        <v>41</v>
      </c>
      <c r="BX77" s="68">
        <f t="shared" si="141"/>
        <v>19</v>
      </c>
      <c r="BY77" s="72">
        <f t="shared" si="142"/>
        <v>0.46341463414634149</v>
      </c>
      <c r="BZ77" s="73">
        <f t="shared" si="143"/>
        <v>282</v>
      </c>
      <c r="CA77" s="69">
        <f t="shared" si="144"/>
        <v>124</v>
      </c>
      <c r="CB77" s="74">
        <f t="shared" si="145"/>
        <v>0.43971631205673761</v>
      </c>
      <c r="CC77" s="75">
        <f t="shared" si="146"/>
        <v>323</v>
      </c>
      <c r="CD77" s="76">
        <f t="shared" si="147"/>
        <v>143</v>
      </c>
      <c r="CE77" s="84">
        <f t="shared" si="148"/>
        <v>0.44272445820433437</v>
      </c>
      <c r="CF77" s="83">
        <v>8</v>
      </c>
      <c r="CG77" s="78">
        <v>2</v>
      </c>
      <c r="CH77" s="85">
        <f t="shared" si="153"/>
        <v>0.25</v>
      </c>
    </row>
    <row r="78" spans="1:86" s="17" customFormat="1" ht="21" customHeight="1" x14ac:dyDescent="0.2">
      <c r="A78" s="103">
        <v>28</v>
      </c>
      <c r="B78" s="104" t="s">
        <v>33</v>
      </c>
      <c r="C78" s="65" t="s">
        <v>15</v>
      </c>
      <c r="D78" s="66" t="s">
        <v>16</v>
      </c>
      <c r="E78" s="67">
        <v>0</v>
      </c>
      <c r="F78" s="68">
        <v>0</v>
      </c>
      <c r="G78" s="69">
        <v>0</v>
      </c>
      <c r="H78" s="69">
        <v>0</v>
      </c>
      <c r="I78" s="70">
        <f t="shared" si="137"/>
        <v>0</v>
      </c>
      <c r="J78" s="70">
        <f t="shared" si="138"/>
        <v>0</v>
      </c>
      <c r="K78" s="71" t="str">
        <f t="shared" si="139"/>
        <v>-</v>
      </c>
      <c r="L78" s="67">
        <v>0</v>
      </c>
      <c r="M78" s="68">
        <v>0</v>
      </c>
      <c r="N78" s="69">
        <v>0</v>
      </c>
      <c r="O78" s="69">
        <v>0</v>
      </c>
      <c r="P78" s="70">
        <f t="shared" si="101"/>
        <v>0</v>
      </c>
      <c r="Q78" s="70">
        <f t="shared" si="102"/>
        <v>0</v>
      </c>
      <c r="R78" s="71" t="str">
        <f t="shared" si="103"/>
        <v>-</v>
      </c>
      <c r="S78" s="67">
        <v>0</v>
      </c>
      <c r="T78" s="68">
        <v>0</v>
      </c>
      <c r="U78" s="69">
        <v>0</v>
      </c>
      <c r="V78" s="69">
        <v>0</v>
      </c>
      <c r="W78" s="70">
        <f t="shared" si="104"/>
        <v>0</v>
      </c>
      <c r="X78" s="70">
        <f t="shared" si="105"/>
        <v>0</v>
      </c>
      <c r="Y78" s="71" t="str">
        <f t="shared" si="106"/>
        <v>-</v>
      </c>
      <c r="Z78" s="67">
        <v>0</v>
      </c>
      <c r="AA78" s="68">
        <v>0</v>
      </c>
      <c r="AB78" s="69">
        <v>0</v>
      </c>
      <c r="AC78" s="69">
        <v>0</v>
      </c>
      <c r="AD78" s="70">
        <f t="shared" si="107"/>
        <v>0</v>
      </c>
      <c r="AE78" s="70">
        <f t="shared" si="108"/>
        <v>0</v>
      </c>
      <c r="AF78" s="71" t="str">
        <f t="shared" si="109"/>
        <v>-</v>
      </c>
      <c r="AG78" s="67">
        <v>0</v>
      </c>
      <c r="AH78" s="68">
        <v>0</v>
      </c>
      <c r="AI78" s="69">
        <v>15</v>
      </c>
      <c r="AJ78" s="69">
        <v>3</v>
      </c>
      <c r="AK78" s="70">
        <f t="shared" si="110"/>
        <v>15</v>
      </c>
      <c r="AL78" s="70">
        <f t="shared" si="111"/>
        <v>3</v>
      </c>
      <c r="AM78" s="71">
        <f t="shared" si="112"/>
        <v>0.2</v>
      </c>
      <c r="AN78" s="67">
        <v>0</v>
      </c>
      <c r="AO78" s="68">
        <v>0</v>
      </c>
      <c r="AP78" s="69">
        <v>74</v>
      </c>
      <c r="AQ78" s="69">
        <v>3</v>
      </c>
      <c r="AR78" s="70">
        <f t="shared" si="113"/>
        <v>74</v>
      </c>
      <c r="AS78" s="70">
        <f t="shared" si="114"/>
        <v>3</v>
      </c>
      <c r="AT78" s="71">
        <f t="shared" si="115"/>
        <v>4.0540540540540543E-2</v>
      </c>
      <c r="AU78" s="67">
        <v>0</v>
      </c>
      <c r="AV78" s="68">
        <v>0</v>
      </c>
      <c r="AW78" s="69">
        <v>0</v>
      </c>
      <c r="AX78" s="69">
        <v>0</v>
      </c>
      <c r="AY78" s="70">
        <f t="shared" si="116"/>
        <v>0</v>
      </c>
      <c r="AZ78" s="70">
        <f t="shared" si="117"/>
        <v>0</v>
      </c>
      <c r="BA78" s="71" t="str">
        <f t="shared" si="118"/>
        <v>-</v>
      </c>
      <c r="BB78" s="67">
        <v>23</v>
      </c>
      <c r="BC78" s="68">
        <v>4</v>
      </c>
      <c r="BD78" s="69">
        <v>31</v>
      </c>
      <c r="BE78" s="69">
        <v>10</v>
      </c>
      <c r="BF78" s="70">
        <f t="shared" si="119"/>
        <v>54</v>
      </c>
      <c r="BG78" s="70">
        <f t="shared" si="120"/>
        <v>14</v>
      </c>
      <c r="BH78" s="71">
        <f t="shared" si="121"/>
        <v>0.25925925925925924</v>
      </c>
      <c r="BI78" s="67">
        <v>4</v>
      </c>
      <c r="BJ78" s="68">
        <v>0</v>
      </c>
      <c r="BK78" s="69">
        <v>112</v>
      </c>
      <c r="BL78" s="69">
        <v>15</v>
      </c>
      <c r="BM78" s="70">
        <f t="shared" si="122"/>
        <v>116</v>
      </c>
      <c r="BN78" s="70">
        <f t="shared" si="123"/>
        <v>15</v>
      </c>
      <c r="BO78" s="71">
        <f t="shared" si="124"/>
        <v>0.12931034482758622</v>
      </c>
      <c r="BP78" s="67">
        <v>0</v>
      </c>
      <c r="BQ78" s="68">
        <v>0</v>
      </c>
      <c r="BR78" s="69">
        <v>0</v>
      </c>
      <c r="BS78" s="69">
        <v>0</v>
      </c>
      <c r="BT78" s="70">
        <f t="shared" si="125"/>
        <v>0</v>
      </c>
      <c r="BU78" s="70">
        <f t="shared" si="126"/>
        <v>0</v>
      </c>
      <c r="BV78" s="71" t="str">
        <f t="shared" si="127"/>
        <v>-</v>
      </c>
      <c r="BW78" s="67">
        <f t="shared" si="140"/>
        <v>27</v>
      </c>
      <c r="BX78" s="68">
        <f t="shared" si="141"/>
        <v>4</v>
      </c>
      <c r="BY78" s="72">
        <f t="shared" si="142"/>
        <v>0.14814814814814814</v>
      </c>
      <c r="BZ78" s="73">
        <f t="shared" si="143"/>
        <v>232</v>
      </c>
      <c r="CA78" s="69">
        <f t="shared" si="144"/>
        <v>31</v>
      </c>
      <c r="CB78" s="74">
        <f t="shared" si="145"/>
        <v>0.1336206896551724</v>
      </c>
      <c r="CC78" s="75">
        <f t="shared" si="146"/>
        <v>259</v>
      </c>
      <c r="CD78" s="76">
        <f t="shared" si="147"/>
        <v>35</v>
      </c>
      <c r="CE78" s="84">
        <f t="shared" si="148"/>
        <v>0.13513513513513514</v>
      </c>
      <c r="CF78" s="83">
        <v>0</v>
      </c>
      <c r="CG78" s="78">
        <v>0</v>
      </c>
      <c r="CH78" s="85" t="str">
        <f t="shared" si="153"/>
        <v>-</v>
      </c>
    </row>
    <row r="79" spans="1:86" s="17" customFormat="1" ht="21" customHeight="1" x14ac:dyDescent="0.2">
      <c r="A79" s="103">
        <v>29</v>
      </c>
      <c r="B79" s="104" t="s">
        <v>55</v>
      </c>
      <c r="C79" s="65" t="s">
        <v>15</v>
      </c>
      <c r="D79" s="66" t="s">
        <v>16</v>
      </c>
      <c r="E79" s="67">
        <v>0</v>
      </c>
      <c r="F79" s="68">
        <v>0</v>
      </c>
      <c r="G79" s="69">
        <v>0</v>
      </c>
      <c r="H79" s="69">
        <v>0</v>
      </c>
      <c r="I79" s="70">
        <f t="shared" si="137"/>
        <v>0</v>
      </c>
      <c r="J79" s="70">
        <f t="shared" si="138"/>
        <v>0</v>
      </c>
      <c r="K79" s="71" t="str">
        <f t="shared" si="139"/>
        <v>-</v>
      </c>
      <c r="L79" s="67">
        <v>0</v>
      </c>
      <c r="M79" s="68">
        <v>0</v>
      </c>
      <c r="N79" s="69">
        <v>0</v>
      </c>
      <c r="O79" s="69">
        <v>0</v>
      </c>
      <c r="P79" s="70">
        <f t="shared" si="101"/>
        <v>0</v>
      </c>
      <c r="Q79" s="70">
        <f t="shared" si="102"/>
        <v>0</v>
      </c>
      <c r="R79" s="71" t="str">
        <f t="shared" si="103"/>
        <v>-</v>
      </c>
      <c r="S79" s="67">
        <v>0</v>
      </c>
      <c r="T79" s="68">
        <v>0</v>
      </c>
      <c r="U79" s="69">
        <v>0</v>
      </c>
      <c r="V79" s="69">
        <v>0</v>
      </c>
      <c r="W79" s="70">
        <f t="shared" si="104"/>
        <v>0</v>
      </c>
      <c r="X79" s="70">
        <f t="shared" si="105"/>
        <v>0</v>
      </c>
      <c r="Y79" s="71" t="str">
        <f t="shared" si="106"/>
        <v>-</v>
      </c>
      <c r="Z79" s="67">
        <v>0</v>
      </c>
      <c r="AA79" s="68">
        <v>0</v>
      </c>
      <c r="AB79" s="69">
        <v>0</v>
      </c>
      <c r="AC79" s="69">
        <v>0</v>
      </c>
      <c r="AD79" s="70">
        <f t="shared" si="107"/>
        <v>0</v>
      </c>
      <c r="AE79" s="70">
        <f t="shared" si="108"/>
        <v>0</v>
      </c>
      <c r="AF79" s="71" t="str">
        <f t="shared" si="109"/>
        <v>-</v>
      </c>
      <c r="AG79" s="67">
        <v>0</v>
      </c>
      <c r="AH79" s="68">
        <v>0</v>
      </c>
      <c r="AI79" s="69">
        <v>18</v>
      </c>
      <c r="AJ79" s="69">
        <v>10</v>
      </c>
      <c r="AK79" s="70">
        <f t="shared" si="110"/>
        <v>18</v>
      </c>
      <c r="AL79" s="70">
        <f t="shared" si="111"/>
        <v>10</v>
      </c>
      <c r="AM79" s="71">
        <f t="shared" si="112"/>
        <v>0.55555555555555558</v>
      </c>
      <c r="AN79" s="67">
        <v>0</v>
      </c>
      <c r="AO79" s="68">
        <v>0</v>
      </c>
      <c r="AP79" s="69">
        <v>55</v>
      </c>
      <c r="AQ79" s="69">
        <v>10</v>
      </c>
      <c r="AR79" s="70">
        <f t="shared" si="113"/>
        <v>55</v>
      </c>
      <c r="AS79" s="70">
        <f t="shared" si="114"/>
        <v>10</v>
      </c>
      <c r="AT79" s="71">
        <f t="shared" si="115"/>
        <v>0.18181818181818182</v>
      </c>
      <c r="AU79" s="67">
        <v>0</v>
      </c>
      <c r="AV79" s="68">
        <v>0</v>
      </c>
      <c r="AW79" s="69">
        <v>0</v>
      </c>
      <c r="AX79" s="69">
        <v>0</v>
      </c>
      <c r="AY79" s="70">
        <f t="shared" si="116"/>
        <v>0</v>
      </c>
      <c r="AZ79" s="70">
        <f t="shared" si="117"/>
        <v>0</v>
      </c>
      <c r="BA79" s="71" t="str">
        <f t="shared" si="118"/>
        <v>-</v>
      </c>
      <c r="BB79" s="67">
        <v>0</v>
      </c>
      <c r="BC79" s="68">
        <v>0</v>
      </c>
      <c r="BD79" s="69">
        <v>29</v>
      </c>
      <c r="BE79" s="69">
        <v>3</v>
      </c>
      <c r="BF79" s="70">
        <f t="shared" si="119"/>
        <v>29</v>
      </c>
      <c r="BG79" s="70">
        <f t="shared" si="120"/>
        <v>3</v>
      </c>
      <c r="BH79" s="71">
        <f t="shared" si="121"/>
        <v>0.10344827586206896</v>
      </c>
      <c r="BI79" s="67">
        <v>0</v>
      </c>
      <c r="BJ79" s="68">
        <v>0</v>
      </c>
      <c r="BK79" s="69">
        <v>49</v>
      </c>
      <c r="BL79" s="69">
        <v>11</v>
      </c>
      <c r="BM79" s="70">
        <f t="shared" si="122"/>
        <v>49</v>
      </c>
      <c r="BN79" s="70">
        <f t="shared" si="123"/>
        <v>11</v>
      </c>
      <c r="BO79" s="71">
        <f t="shared" si="124"/>
        <v>0.22448979591836735</v>
      </c>
      <c r="BP79" s="67">
        <v>0</v>
      </c>
      <c r="BQ79" s="68">
        <v>0</v>
      </c>
      <c r="BR79" s="69">
        <v>0</v>
      </c>
      <c r="BS79" s="69">
        <v>0</v>
      </c>
      <c r="BT79" s="70">
        <f t="shared" si="125"/>
        <v>0</v>
      </c>
      <c r="BU79" s="70">
        <f t="shared" si="126"/>
        <v>0</v>
      </c>
      <c r="BV79" s="71" t="str">
        <f t="shared" si="127"/>
        <v>-</v>
      </c>
      <c r="BW79" s="67">
        <f t="shared" si="140"/>
        <v>0</v>
      </c>
      <c r="BX79" s="68">
        <f t="shared" si="141"/>
        <v>0</v>
      </c>
      <c r="BY79" s="72" t="str">
        <f t="shared" si="142"/>
        <v>-</v>
      </c>
      <c r="BZ79" s="73">
        <f t="shared" si="143"/>
        <v>151</v>
      </c>
      <c r="CA79" s="69">
        <f t="shared" si="144"/>
        <v>34</v>
      </c>
      <c r="CB79" s="74">
        <f t="shared" si="145"/>
        <v>0.2251655629139073</v>
      </c>
      <c r="CC79" s="75">
        <f t="shared" si="146"/>
        <v>151</v>
      </c>
      <c r="CD79" s="76">
        <f t="shared" si="147"/>
        <v>34</v>
      </c>
      <c r="CE79" s="84">
        <f t="shared" si="148"/>
        <v>0.2251655629139073</v>
      </c>
      <c r="CF79" s="83">
        <v>0</v>
      </c>
      <c r="CG79" s="78">
        <v>0</v>
      </c>
      <c r="CH79" s="85" t="str">
        <f t="shared" si="153"/>
        <v>-</v>
      </c>
    </row>
    <row r="80" spans="1:86" s="17" customFormat="1" ht="21" customHeight="1" x14ac:dyDescent="0.2">
      <c r="A80" s="103">
        <v>30</v>
      </c>
      <c r="B80" s="104" t="s">
        <v>74</v>
      </c>
      <c r="C80" s="65" t="s">
        <v>15</v>
      </c>
      <c r="D80" s="66" t="s">
        <v>16</v>
      </c>
      <c r="E80" s="67">
        <v>0</v>
      </c>
      <c r="F80" s="68">
        <v>0</v>
      </c>
      <c r="G80" s="69">
        <v>0</v>
      </c>
      <c r="H80" s="69">
        <v>0</v>
      </c>
      <c r="I80" s="70">
        <f t="shared" si="137"/>
        <v>0</v>
      </c>
      <c r="J80" s="70">
        <f t="shared" si="138"/>
        <v>0</v>
      </c>
      <c r="K80" s="71" t="str">
        <f t="shared" si="139"/>
        <v>-</v>
      </c>
      <c r="L80" s="67">
        <v>0</v>
      </c>
      <c r="M80" s="68">
        <v>0</v>
      </c>
      <c r="N80" s="69">
        <v>0</v>
      </c>
      <c r="O80" s="69">
        <v>0</v>
      </c>
      <c r="P80" s="70">
        <f t="shared" si="101"/>
        <v>0</v>
      </c>
      <c r="Q80" s="70">
        <f t="shared" si="102"/>
        <v>0</v>
      </c>
      <c r="R80" s="71" t="str">
        <f t="shared" si="103"/>
        <v>-</v>
      </c>
      <c r="S80" s="67">
        <v>0</v>
      </c>
      <c r="T80" s="68">
        <v>0</v>
      </c>
      <c r="U80" s="69">
        <v>0</v>
      </c>
      <c r="V80" s="69">
        <v>0</v>
      </c>
      <c r="W80" s="70">
        <f t="shared" si="104"/>
        <v>0</v>
      </c>
      <c r="X80" s="70">
        <f t="shared" si="105"/>
        <v>0</v>
      </c>
      <c r="Y80" s="71" t="str">
        <f t="shared" si="106"/>
        <v>-</v>
      </c>
      <c r="Z80" s="67">
        <v>0</v>
      </c>
      <c r="AA80" s="68">
        <v>0</v>
      </c>
      <c r="AB80" s="69">
        <v>0</v>
      </c>
      <c r="AC80" s="69">
        <v>0</v>
      </c>
      <c r="AD80" s="70">
        <f t="shared" si="107"/>
        <v>0</v>
      </c>
      <c r="AE80" s="70">
        <f t="shared" si="108"/>
        <v>0</v>
      </c>
      <c r="AF80" s="71" t="str">
        <f t="shared" si="109"/>
        <v>-</v>
      </c>
      <c r="AG80" s="67">
        <v>0</v>
      </c>
      <c r="AH80" s="68">
        <v>0</v>
      </c>
      <c r="AI80" s="69">
        <v>0</v>
      </c>
      <c r="AJ80" s="69">
        <v>0</v>
      </c>
      <c r="AK80" s="70">
        <f t="shared" si="110"/>
        <v>0</v>
      </c>
      <c r="AL80" s="70">
        <f t="shared" si="111"/>
        <v>0</v>
      </c>
      <c r="AM80" s="71" t="str">
        <f t="shared" si="112"/>
        <v>-</v>
      </c>
      <c r="AN80" s="67">
        <v>0</v>
      </c>
      <c r="AO80" s="68">
        <v>0</v>
      </c>
      <c r="AP80" s="69">
        <v>0</v>
      </c>
      <c r="AQ80" s="69">
        <v>0</v>
      </c>
      <c r="AR80" s="70">
        <f t="shared" si="113"/>
        <v>0</v>
      </c>
      <c r="AS80" s="70">
        <f t="shared" si="114"/>
        <v>0</v>
      </c>
      <c r="AT80" s="71" t="str">
        <f t="shared" si="115"/>
        <v>-</v>
      </c>
      <c r="AU80" s="67">
        <v>0</v>
      </c>
      <c r="AV80" s="68">
        <v>0</v>
      </c>
      <c r="AW80" s="69">
        <v>0</v>
      </c>
      <c r="AX80" s="69">
        <v>0</v>
      </c>
      <c r="AY80" s="70">
        <f t="shared" si="116"/>
        <v>0</v>
      </c>
      <c r="AZ80" s="70">
        <f t="shared" si="117"/>
        <v>0</v>
      </c>
      <c r="BA80" s="71" t="str">
        <f t="shared" si="118"/>
        <v>-</v>
      </c>
      <c r="BB80" s="67">
        <v>0</v>
      </c>
      <c r="BC80" s="68">
        <v>0</v>
      </c>
      <c r="BD80" s="69">
        <v>0</v>
      </c>
      <c r="BE80" s="69">
        <v>0</v>
      </c>
      <c r="BF80" s="70">
        <f t="shared" si="119"/>
        <v>0</v>
      </c>
      <c r="BG80" s="70">
        <f t="shared" si="120"/>
        <v>0</v>
      </c>
      <c r="BH80" s="71" t="str">
        <f t="shared" si="121"/>
        <v>-</v>
      </c>
      <c r="BI80" s="67">
        <v>0</v>
      </c>
      <c r="BJ80" s="68">
        <v>0</v>
      </c>
      <c r="BK80" s="69">
        <v>0</v>
      </c>
      <c r="BL80" s="69">
        <v>0</v>
      </c>
      <c r="BM80" s="70">
        <f t="shared" si="122"/>
        <v>0</v>
      </c>
      <c r="BN80" s="70">
        <f t="shared" si="123"/>
        <v>0</v>
      </c>
      <c r="BO80" s="71" t="str">
        <f t="shared" si="124"/>
        <v>-</v>
      </c>
      <c r="BP80" s="67">
        <v>0</v>
      </c>
      <c r="BQ80" s="68">
        <v>0</v>
      </c>
      <c r="BR80" s="69">
        <v>0</v>
      </c>
      <c r="BS80" s="69">
        <v>0</v>
      </c>
      <c r="BT80" s="70">
        <f t="shared" si="125"/>
        <v>0</v>
      </c>
      <c r="BU80" s="70">
        <f t="shared" si="126"/>
        <v>0</v>
      </c>
      <c r="BV80" s="71" t="str">
        <f t="shared" si="127"/>
        <v>-</v>
      </c>
      <c r="BW80" s="67">
        <f t="shared" si="140"/>
        <v>0</v>
      </c>
      <c r="BX80" s="68">
        <f t="shared" si="141"/>
        <v>0</v>
      </c>
      <c r="BY80" s="72" t="str">
        <f t="shared" si="142"/>
        <v>-</v>
      </c>
      <c r="BZ80" s="73">
        <f t="shared" si="143"/>
        <v>0</v>
      </c>
      <c r="CA80" s="69">
        <f t="shared" si="144"/>
        <v>0</v>
      </c>
      <c r="CB80" s="74" t="str">
        <f t="shared" si="145"/>
        <v>-</v>
      </c>
      <c r="CC80" s="75">
        <f t="shared" si="146"/>
        <v>0</v>
      </c>
      <c r="CD80" s="76">
        <f t="shared" si="147"/>
        <v>0</v>
      </c>
      <c r="CE80" s="84" t="str">
        <f t="shared" si="148"/>
        <v>-</v>
      </c>
      <c r="CF80" s="83">
        <v>0</v>
      </c>
      <c r="CG80" s="78">
        <v>0</v>
      </c>
      <c r="CH80" s="85" t="str">
        <f t="shared" si="153"/>
        <v>-</v>
      </c>
    </row>
    <row r="81" spans="1:86" s="17" customFormat="1" ht="21" customHeight="1" x14ac:dyDescent="0.2">
      <c r="A81" s="103">
        <v>31</v>
      </c>
      <c r="B81" s="104" t="s">
        <v>69</v>
      </c>
      <c r="C81" s="65" t="s">
        <v>15</v>
      </c>
      <c r="D81" s="66" t="s">
        <v>16</v>
      </c>
      <c r="E81" s="67">
        <v>0</v>
      </c>
      <c r="F81" s="68">
        <v>0</v>
      </c>
      <c r="G81" s="69">
        <v>0</v>
      </c>
      <c r="H81" s="69">
        <v>0</v>
      </c>
      <c r="I81" s="70">
        <f t="shared" si="137"/>
        <v>0</v>
      </c>
      <c r="J81" s="70">
        <f t="shared" si="138"/>
        <v>0</v>
      </c>
      <c r="K81" s="71" t="str">
        <f t="shared" si="139"/>
        <v>-</v>
      </c>
      <c r="L81" s="67">
        <v>0</v>
      </c>
      <c r="M81" s="68">
        <v>0</v>
      </c>
      <c r="N81" s="69">
        <v>0</v>
      </c>
      <c r="O81" s="69">
        <v>0</v>
      </c>
      <c r="P81" s="70">
        <f t="shared" si="101"/>
        <v>0</v>
      </c>
      <c r="Q81" s="70">
        <f t="shared" si="102"/>
        <v>0</v>
      </c>
      <c r="R81" s="71" t="str">
        <f t="shared" si="103"/>
        <v>-</v>
      </c>
      <c r="S81" s="67">
        <v>21</v>
      </c>
      <c r="T81" s="68">
        <v>0</v>
      </c>
      <c r="U81" s="69">
        <v>27</v>
      </c>
      <c r="V81" s="69">
        <v>0</v>
      </c>
      <c r="W81" s="70">
        <f t="shared" si="104"/>
        <v>48</v>
      </c>
      <c r="X81" s="70">
        <f t="shared" si="105"/>
        <v>0</v>
      </c>
      <c r="Y81" s="71">
        <f t="shared" si="106"/>
        <v>0</v>
      </c>
      <c r="Z81" s="67">
        <v>0</v>
      </c>
      <c r="AA81" s="68">
        <v>0</v>
      </c>
      <c r="AB81" s="69">
        <v>0</v>
      </c>
      <c r="AC81" s="69">
        <v>0</v>
      </c>
      <c r="AD81" s="70">
        <f t="shared" si="107"/>
        <v>0</v>
      </c>
      <c r="AE81" s="70">
        <f t="shared" si="108"/>
        <v>0</v>
      </c>
      <c r="AF81" s="71" t="str">
        <f t="shared" si="109"/>
        <v>-</v>
      </c>
      <c r="AG81" s="67">
        <v>0</v>
      </c>
      <c r="AH81" s="68">
        <v>0</v>
      </c>
      <c r="AI81" s="69">
        <v>0</v>
      </c>
      <c r="AJ81" s="69">
        <v>0</v>
      </c>
      <c r="AK81" s="70">
        <f t="shared" si="110"/>
        <v>0</v>
      </c>
      <c r="AL81" s="70">
        <f t="shared" si="111"/>
        <v>0</v>
      </c>
      <c r="AM81" s="71" t="str">
        <f t="shared" si="112"/>
        <v>-</v>
      </c>
      <c r="AN81" s="67">
        <v>3</v>
      </c>
      <c r="AO81" s="68">
        <v>0</v>
      </c>
      <c r="AP81" s="69">
        <v>51</v>
      </c>
      <c r="AQ81" s="69">
        <v>0</v>
      </c>
      <c r="AR81" s="70">
        <f t="shared" si="113"/>
        <v>54</v>
      </c>
      <c r="AS81" s="70">
        <f t="shared" si="114"/>
        <v>0</v>
      </c>
      <c r="AT81" s="71">
        <f t="shared" si="115"/>
        <v>0</v>
      </c>
      <c r="AU81" s="67">
        <v>0</v>
      </c>
      <c r="AV81" s="68">
        <v>0</v>
      </c>
      <c r="AW81" s="69">
        <v>0</v>
      </c>
      <c r="AX81" s="69">
        <v>0</v>
      </c>
      <c r="AY81" s="70">
        <f t="shared" si="116"/>
        <v>0</v>
      </c>
      <c r="AZ81" s="70">
        <f t="shared" si="117"/>
        <v>0</v>
      </c>
      <c r="BA81" s="71" t="str">
        <f t="shared" si="118"/>
        <v>-</v>
      </c>
      <c r="BB81" s="67">
        <v>0</v>
      </c>
      <c r="BC81" s="68">
        <v>0</v>
      </c>
      <c r="BD81" s="69">
        <v>0</v>
      </c>
      <c r="BE81" s="69">
        <v>0</v>
      </c>
      <c r="BF81" s="70">
        <f t="shared" si="119"/>
        <v>0</v>
      </c>
      <c r="BG81" s="70">
        <f t="shared" si="120"/>
        <v>0</v>
      </c>
      <c r="BH81" s="71" t="str">
        <f t="shared" si="121"/>
        <v>-</v>
      </c>
      <c r="BI81" s="67">
        <v>7</v>
      </c>
      <c r="BJ81" s="68">
        <v>0</v>
      </c>
      <c r="BK81" s="69">
        <v>32</v>
      </c>
      <c r="BL81" s="69">
        <v>1</v>
      </c>
      <c r="BM81" s="70">
        <f t="shared" si="122"/>
        <v>39</v>
      </c>
      <c r="BN81" s="70">
        <f t="shared" si="123"/>
        <v>1</v>
      </c>
      <c r="BO81" s="71">
        <f t="shared" si="124"/>
        <v>2.564102564102564E-2</v>
      </c>
      <c r="BP81" s="67">
        <v>18</v>
      </c>
      <c r="BQ81" s="68">
        <v>1</v>
      </c>
      <c r="BR81" s="69">
        <v>36</v>
      </c>
      <c r="BS81" s="69">
        <v>3</v>
      </c>
      <c r="BT81" s="70">
        <f t="shared" si="125"/>
        <v>54</v>
      </c>
      <c r="BU81" s="70">
        <f t="shared" si="126"/>
        <v>4</v>
      </c>
      <c r="BV81" s="71">
        <f t="shared" si="127"/>
        <v>7.407407407407407E-2</v>
      </c>
      <c r="BW81" s="67">
        <f t="shared" si="140"/>
        <v>49</v>
      </c>
      <c r="BX81" s="68">
        <f t="shared" si="141"/>
        <v>1</v>
      </c>
      <c r="BY81" s="72">
        <f t="shared" si="142"/>
        <v>2.0408163265306121E-2</v>
      </c>
      <c r="BZ81" s="73">
        <f t="shared" si="143"/>
        <v>146</v>
      </c>
      <c r="CA81" s="69">
        <f t="shared" si="144"/>
        <v>4</v>
      </c>
      <c r="CB81" s="74">
        <f t="shared" si="145"/>
        <v>2.7397260273972601E-2</v>
      </c>
      <c r="CC81" s="75">
        <f t="shared" si="146"/>
        <v>195</v>
      </c>
      <c r="CD81" s="76">
        <f t="shared" si="147"/>
        <v>5</v>
      </c>
      <c r="CE81" s="84">
        <f t="shared" si="148"/>
        <v>2.564102564102564E-2</v>
      </c>
      <c r="CF81" s="83">
        <v>0</v>
      </c>
      <c r="CG81" s="78">
        <v>0</v>
      </c>
      <c r="CH81" s="85" t="str">
        <f t="shared" si="153"/>
        <v>-</v>
      </c>
    </row>
    <row r="82" spans="1:86" s="17" customFormat="1" ht="21" customHeight="1" x14ac:dyDescent="0.2">
      <c r="A82" s="103">
        <v>32</v>
      </c>
      <c r="B82" s="104" t="s">
        <v>40</v>
      </c>
      <c r="C82" s="65" t="s">
        <v>15</v>
      </c>
      <c r="D82" s="66" t="s">
        <v>16</v>
      </c>
      <c r="E82" s="67">
        <v>0</v>
      </c>
      <c r="F82" s="68">
        <v>0</v>
      </c>
      <c r="G82" s="69">
        <v>0</v>
      </c>
      <c r="H82" s="69">
        <v>0</v>
      </c>
      <c r="I82" s="70">
        <f t="shared" si="137"/>
        <v>0</v>
      </c>
      <c r="J82" s="70">
        <f t="shared" si="138"/>
        <v>0</v>
      </c>
      <c r="K82" s="71" t="str">
        <f t="shared" si="139"/>
        <v>-</v>
      </c>
      <c r="L82" s="67">
        <v>1</v>
      </c>
      <c r="M82" s="68">
        <v>0</v>
      </c>
      <c r="N82" s="69">
        <v>7</v>
      </c>
      <c r="O82" s="69">
        <v>1</v>
      </c>
      <c r="P82" s="70">
        <f t="shared" si="101"/>
        <v>8</v>
      </c>
      <c r="Q82" s="70">
        <f t="shared" si="102"/>
        <v>1</v>
      </c>
      <c r="R82" s="71">
        <f t="shared" si="103"/>
        <v>0.125</v>
      </c>
      <c r="S82" s="67">
        <v>0</v>
      </c>
      <c r="T82" s="68">
        <v>0</v>
      </c>
      <c r="U82" s="69">
        <v>0</v>
      </c>
      <c r="V82" s="69">
        <v>0</v>
      </c>
      <c r="W82" s="70">
        <f t="shared" si="104"/>
        <v>0</v>
      </c>
      <c r="X82" s="70">
        <f t="shared" si="105"/>
        <v>0</v>
      </c>
      <c r="Y82" s="71" t="str">
        <f t="shared" si="106"/>
        <v>-</v>
      </c>
      <c r="Z82" s="67">
        <v>0</v>
      </c>
      <c r="AA82" s="68">
        <v>0</v>
      </c>
      <c r="AB82" s="69">
        <v>0</v>
      </c>
      <c r="AC82" s="69">
        <v>0</v>
      </c>
      <c r="AD82" s="70">
        <f t="shared" si="107"/>
        <v>0</v>
      </c>
      <c r="AE82" s="70">
        <f t="shared" si="108"/>
        <v>0</v>
      </c>
      <c r="AF82" s="71" t="str">
        <f t="shared" si="109"/>
        <v>-</v>
      </c>
      <c r="AG82" s="67">
        <v>0</v>
      </c>
      <c r="AH82" s="68">
        <v>0</v>
      </c>
      <c r="AI82" s="69">
        <v>28</v>
      </c>
      <c r="AJ82" s="69">
        <v>8</v>
      </c>
      <c r="AK82" s="70">
        <f t="shared" si="110"/>
        <v>28</v>
      </c>
      <c r="AL82" s="70">
        <f t="shared" si="111"/>
        <v>8</v>
      </c>
      <c r="AM82" s="71">
        <f t="shared" si="112"/>
        <v>0.2857142857142857</v>
      </c>
      <c r="AN82" s="67">
        <v>0</v>
      </c>
      <c r="AO82" s="68">
        <v>0</v>
      </c>
      <c r="AP82" s="69">
        <v>51</v>
      </c>
      <c r="AQ82" s="69">
        <v>35</v>
      </c>
      <c r="AR82" s="70">
        <f t="shared" si="113"/>
        <v>51</v>
      </c>
      <c r="AS82" s="70">
        <f t="shared" si="114"/>
        <v>35</v>
      </c>
      <c r="AT82" s="71">
        <f t="shared" si="115"/>
        <v>0.68627450980392157</v>
      </c>
      <c r="AU82" s="67">
        <v>4</v>
      </c>
      <c r="AV82" s="68">
        <v>0</v>
      </c>
      <c r="AW82" s="69">
        <v>32</v>
      </c>
      <c r="AX82" s="69">
        <v>25</v>
      </c>
      <c r="AY82" s="70">
        <f t="shared" si="116"/>
        <v>36</v>
      </c>
      <c r="AZ82" s="70">
        <f t="shared" si="117"/>
        <v>25</v>
      </c>
      <c r="BA82" s="71">
        <f t="shared" si="118"/>
        <v>0.69444444444444442</v>
      </c>
      <c r="BB82" s="67">
        <v>0</v>
      </c>
      <c r="BC82" s="68">
        <v>0</v>
      </c>
      <c r="BD82" s="69">
        <v>0</v>
      </c>
      <c r="BE82" s="69">
        <v>0</v>
      </c>
      <c r="BF82" s="70">
        <f t="shared" si="119"/>
        <v>0</v>
      </c>
      <c r="BG82" s="70">
        <f t="shared" si="120"/>
        <v>0</v>
      </c>
      <c r="BH82" s="71" t="str">
        <f t="shared" si="121"/>
        <v>-</v>
      </c>
      <c r="BI82" s="67">
        <v>2</v>
      </c>
      <c r="BJ82" s="68">
        <v>0</v>
      </c>
      <c r="BK82" s="69">
        <v>63</v>
      </c>
      <c r="BL82" s="69">
        <v>38</v>
      </c>
      <c r="BM82" s="70">
        <f t="shared" si="122"/>
        <v>65</v>
      </c>
      <c r="BN82" s="70">
        <f t="shared" si="123"/>
        <v>38</v>
      </c>
      <c r="BO82" s="71">
        <f t="shared" si="124"/>
        <v>0.58461538461538465</v>
      </c>
      <c r="BP82" s="67">
        <v>2</v>
      </c>
      <c r="BQ82" s="68">
        <v>0</v>
      </c>
      <c r="BR82" s="69">
        <v>58</v>
      </c>
      <c r="BS82" s="69">
        <v>32</v>
      </c>
      <c r="BT82" s="70">
        <f t="shared" si="125"/>
        <v>60</v>
      </c>
      <c r="BU82" s="70">
        <f t="shared" si="126"/>
        <v>32</v>
      </c>
      <c r="BV82" s="71">
        <f t="shared" si="127"/>
        <v>0.53333333333333333</v>
      </c>
      <c r="BW82" s="67">
        <f t="shared" si="140"/>
        <v>9</v>
      </c>
      <c r="BX82" s="68">
        <f t="shared" si="141"/>
        <v>0</v>
      </c>
      <c r="BY82" s="72">
        <f t="shared" si="142"/>
        <v>0</v>
      </c>
      <c r="BZ82" s="73">
        <f t="shared" si="143"/>
        <v>239</v>
      </c>
      <c r="CA82" s="69">
        <f t="shared" si="144"/>
        <v>139</v>
      </c>
      <c r="CB82" s="74">
        <f t="shared" si="145"/>
        <v>0.58158995815899583</v>
      </c>
      <c r="CC82" s="75">
        <f t="shared" si="146"/>
        <v>248</v>
      </c>
      <c r="CD82" s="76">
        <f t="shared" si="147"/>
        <v>139</v>
      </c>
      <c r="CE82" s="84">
        <f t="shared" si="148"/>
        <v>0.56048387096774188</v>
      </c>
      <c r="CF82" s="83">
        <v>0</v>
      </c>
      <c r="CG82" s="78">
        <v>0</v>
      </c>
      <c r="CH82" s="85" t="str">
        <f t="shared" si="153"/>
        <v>-</v>
      </c>
    </row>
    <row r="83" spans="1:86" s="17" customFormat="1" ht="21" customHeight="1" x14ac:dyDescent="0.2">
      <c r="A83" s="103">
        <v>33</v>
      </c>
      <c r="B83" s="104" t="s">
        <v>83</v>
      </c>
      <c r="C83" s="65" t="s">
        <v>15</v>
      </c>
      <c r="D83" s="66" t="s">
        <v>16</v>
      </c>
      <c r="E83" s="67">
        <v>0</v>
      </c>
      <c r="F83" s="68">
        <v>0</v>
      </c>
      <c r="G83" s="69">
        <v>0</v>
      </c>
      <c r="H83" s="69">
        <v>0</v>
      </c>
      <c r="I83" s="70">
        <f t="shared" si="137"/>
        <v>0</v>
      </c>
      <c r="J83" s="70">
        <f t="shared" si="138"/>
        <v>0</v>
      </c>
      <c r="K83" s="71" t="str">
        <f t="shared" si="139"/>
        <v>-</v>
      </c>
      <c r="L83" s="67">
        <v>0</v>
      </c>
      <c r="M83" s="68">
        <v>0</v>
      </c>
      <c r="N83" s="69">
        <v>0</v>
      </c>
      <c r="O83" s="69">
        <v>0</v>
      </c>
      <c r="P83" s="70">
        <f t="shared" si="101"/>
        <v>0</v>
      </c>
      <c r="Q83" s="70">
        <f t="shared" si="102"/>
        <v>0</v>
      </c>
      <c r="R83" s="71" t="str">
        <f t="shared" si="103"/>
        <v>-</v>
      </c>
      <c r="S83" s="67">
        <v>0</v>
      </c>
      <c r="T83" s="68">
        <v>0</v>
      </c>
      <c r="U83" s="69">
        <v>0</v>
      </c>
      <c r="V83" s="69">
        <v>0</v>
      </c>
      <c r="W83" s="70">
        <f t="shared" si="104"/>
        <v>0</v>
      </c>
      <c r="X83" s="70">
        <f t="shared" si="105"/>
        <v>0</v>
      </c>
      <c r="Y83" s="71" t="str">
        <f t="shared" si="106"/>
        <v>-</v>
      </c>
      <c r="Z83" s="67">
        <v>0</v>
      </c>
      <c r="AA83" s="68">
        <v>0</v>
      </c>
      <c r="AB83" s="69">
        <v>0</v>
      </c>
      <c r="AC83" s="69">
        <v>0</v>
      </c>
      <c r="AD83" s="70">
        <f t="shared" si="107"/>
        <v>0</v>
      </c>
      <c r="AE83" s="70">
        <f t="shared" si="108"/>
        <v>0</v>
      </c>
      <c r="AF83" s="71" t="str">
        <f t="shared" si="109"/>
        <v>-</v>
      </c>
      <c r="AG83" s="67">
        <v>0</v>
      </c>
      <c r="AH83" s="68">
        <v>0</v>
      </c>
      <c r="AI83" s="69">
        <v>0</v>
      </c>
      <c r="AJ83" s="69">
        <v>0</v>
      </c>
      <c r="AK83" s="70">
        <f t="shared" si="110"/>
        <v>0</v>
      </c>
      <c r="AL83" s="70">
        <f t="shared" si="111"/>
        <v>0</v>
      </c>
      <c r="AM83" s="71" t="str">
        <f t="shared" si="112"/>
        <v>-</v>
      </c>
      <c r="AN83" s="67">
        <v>0</v>
      </c>
      <c r="AO83" s="68">
        <v>0</v>
      </c>
      <c r="AP83" s="69">
        <v>0</v>
      </c>
      <c r="AQ83" s="69">
        <v>0</v>
      </c>
      <c r="AR83" s="70">
        <f t="shared" si="113"/>
        <v>0</v>
      </c>
      <c r="AS83" s="70">
        <f t="shared" si="114"/>
        <v>0</v>
      </c>
      <c r="AT83" s="71" t="str">
        <f t="shared" si="115"/>
        <v>-</v>
      </c>
      <c r="AU83" s="67">
        <v>0</v>
      </c>
      <c r="AV83" s="68">
        <v>0</v>
      </c>
      <c r="AW83" s="69">
        <v>0</v>
      </c>
      <c r="AX83" s="69">
        <v>0</v>
      </c>
      <c r="AY83" s="70">
        <f t="shared" si="116"/>
        <v>0</v>
      </c>
      <c r="AZ83" s="70">
        <f t="shared" si="117"/>
        <v>0</v>
      </c>
      <c r="BA83" s="71" t="str">
        <f t="shared" si="118"/>
        <v>-</v>
      </c>
      <c r="BB83" s="67">
        <v>0</v>
      </c>
      <c r="BC83" s="68">
        <v>0</v>
      </c>
      <c r="BD83" s="69">
        <v>0</v>
      </c>
      <c r="BE83" s="69">
        <v>0</v>
      </c>
      <c r="BF83" s="70">
        <f t="shared" si="119"/>
        <v>0</v>
      </c>
      <c r="BG83" s="70">
        <f t="shared" si="120"/>
        <v>0</v>
      </c>
      <c r="BH83" s="71" t="str">
        <f t="shared" si="121"/>
        <v>-</v>
      </c>
      <c r="BI83" s="67">
        <v>0</v>
      </c>
      <c r="BJ83" s="68">
        <v>0</v>
      </c>
      <c r="BK83" s="69">
        <v>0</v>
      </c>
      <c r="BL83" s="69">
        <v>0</v>
      </c>
      <c r="BM83" s="70">
        <f t="shared" si="122"/>
        <v>0</v>
      </c>
      <c r="BN83" s="70">
        <f t="shared" si="123"/>
        <v>0</v>
      </c>
      <c r="BO83" s="71" t="str">
        <f t="shared" si="124"/>
        <v>-</v>
      </c>
      <c r="BP83" s="67">
        <v>0</v>
      </c>
      <c r="BQ83" s="68">
        <v>0</v>
      </c>
      <c r="BR83" s="69">
        <v>0</v>
      </c>
      <c r="BS83" s="69">
        <v>0</v>
      </c>
      <c r="BT83" s="70">
        <f t="shared" si="125"/>
        <v>0</v>
      </c>
      <c r="BU83" s="70">
        <f t="shared" si="126"/>
        <v>0</v>
      </c>
      <c r="BV83" s="71" t="str">
        <f t="shared" si="127"/>
        <v>-</v>
      </c>
      <c r="BW83" s="67">
        <f t="shared" si="140"/>
        <v>0</v>
      </c>
      <c r="BX83" s="68">
        <f t="shared" si="141"/>
        <v>0</v>
      </c>
      <c r="BY83" s="72" t="str">
        <f t="shared" si="142"/>
        <v>-</v>
      </c>
      <c r="BZ83" s="73">
        <f t="shared" si="143"/>
        <v>0</v>
      </c>
      <c r="CA83" s="69">
        <f t="shared" si="144"/>
        <v>0</v>
      </c>
      <c r="CB83" s="74" t="str">
        <f t="shared" si="145"/>
        <v>-</v>
      </c>
      <c r="CC83" s="75">
        <f t="shared" si="146"/>
        <v>0</v>
      </c>
      <c r="CD83" s="76">
        <f t="shared" si="147"/>
        <v>0</v>
      </c>
      <c r="CE83" s="84" t="str">
        <f t="shared" si="148"/>
        <v>-</v>
      </c>
      <c r="CF83" s="83">
        <v>0</v>
      </c>
      <c r="CG83" s="78">
        <v>0</v>
      </c>
      <c r="CH83" s="85" t="str">
        <f t="shared" si="153"/>
        <v>-</v>
      </c>
    </row>
    <row r="84" spans="1:86" s="17" customFormat="1" ht="21" customHeight="1" x14ac:dyDescent="0.2">
      <c r="A84" s="103">
        <v>34</v>
      </c>
      <c r="B84" s="104" t="s">
        <v>68</v>
      </c>
      <c r="C84" s="65" t="s">
        <v>17</v>
      </c>
      <c r="D84" s="66" t="s">
        <v>18</v>
      </c>
      <c r="E84" s="67">
        <v>0</v>
      </c>
      <c r="F84" s="68">
        <v>0</v>
      </c>
      <c r="G84" s="69">
        <v>0</v>
      </c>
      <c r="H84" s="69">
        <v>0</v>
      </c>
      <c r="I84" s="70">
        <f t="shared" si="137"/>
        <v>0</v>
      </c>
      <c r="J84" s="70">
        <f t="shared" si="138"/>
        <v>0</v>
      </c>
      <c r="K84" s="71" t="str">
        <f t="shared" si="139"/>
        <v>-</v>
      </c>
      <c r="L84" s="67">
        <v>0</v>
      </c>
      <c r="M84" s="68">
        <v>0</v>
      </c>
      <c r="N84" s="69">
        <v>0</v>
      </c>
      <c r="O84" s="69">
        <v>0</v>
      </c>
      <c r="P84" s="70">
        <f t="shared" si="101"/>
        <v>0</v>
      </c>
      <c r="Q84" s="70">
        <f t="shared" si="102"/>
        <v>0</v>
      </c>
      <c r="R84" s="71" t="str">
        <f t="shared" si="103"/>
        <v>-</v>
      </c>
      <c r="S84" s="67">
        <v>10</v>
      </c>
      <c r="T84" s="68">
        <v>2</v>
      </c>
      <c r="U84" s="69">
        <v>12</v>
      </c>
      <c r="V84" s="69">
        <v>3</v>
      </c>
      <c r="W84" s="70">
        <f t="shared" si="104"/>
        <v>22</v>
      </c>
      <c r="X84" s="70">
        <f t="shared" si="105"/>
        <v>5</v>
      </c>
      <c r="Y84" s="71">
        <f t="shared" si="106"/>
        <v>0.22727272727272727</v>
      </c>
      <c r="Z84" s="67">
        <v>0</v>
      </c>
      <c r="AA84" s="68">
        <v>0</v>
      </c>
      <c r="AB84" s="69">
        <v>0</v>
      </c>
      <c r="AC84" s="69">
        <v>0</v>
      </c>
      <c r="AD84" s="70">
        <f t="shared" si="107"/>
        <v>0</v>
      </c>
      <c r="AE84" s="70">
        <f t="shared" si="108"/>
        <v>0</v>
      </c>
      <c r="AF84" s="71" t="str">
        <f t="shared" si="109"/>
        <v>-</v>
      </c>
      <c r="AG84" s="67">
        <v>0</v>
      </c>
      <c r="AH84" s="68">
        <v>0</v>
      </c>
      <c r="AI84" s="69">
        <v>0</v>
      </c>
      <c r="AJ84" s="69">
        <v>0</v>
      </c>
      <c r="AK84" s="70">
        <f t="shared" si="110"/>
        <v>0</v>
      </c>
      <c r="AL84" s="70">
        <f t="shared" si="111"/>
        <v>0</v>
      </c>
      <c r="AM84" s="71" t="str">
        <f t="shared" si="112"/>
        <v>-</v>
      </c>
      <c r="AN84" s="67">
        <v>3</v>
      </c>
      <c r="AO84" s="68">
        <v>3</v>
      </c>
      <c r="AP84" s="69">
        <v>29</v>
      </c>
      <c r="AQ84" s="69">
        <v>10</v>
      </c>
      <c r="AR84" s="70">
        <f t="shared" si="113"/>
        <v>32</v>
      </c>
      <c r="AS84" s="70">
        <f t="shared" si="114"/>
        <v>13</v>
      </c>
      <c r="AT84" s="71">
        <f t="shared" si="115"/>
        <v>0.40625</v>
      </c>
      <c r="AU84" s="67">
        <v>5</v>
      </c>
      <c r="AV84" s="68">
        <v>5</v>
      </c>
      <c r="AW84" s="69">
        <v>16</v>
      </c>
      <c r="AX84" s="69">
        <v>9</v>
      </c>
      <c r="AY84" s="70">
        <f t="shared" si="116"/>
        <v>21</v>
      </c>
      <c r="AZ84" s="70">
        <f t="shared" si="117"/>
        <v>14</v>
      </c>
      <c r="BA84" s="71">
        <f t="shared" si="118"/>
        <v>0.66666666666666663</v>
      </c>
      <c r="BB84" s="67">
        <v>0</v>
      </c>
      <c r="BC84" s="68">
        <v>0</v>
      </c>
      <c r="BD84" s="69">
        <v>0</v>
      </c>
      <c r="BE84" s="69">
        <v>0</v>
      </c>
      <c r="BF84" s="70">
        <f t="shared" si="119"/>
        <v>0</v>
      </c>
      <c r="BG84" s="70">
        <f t="shared" si="120"/>
        <v>0</v>
      </c>
      <c r="BH84" s="71" t="str">
        <f t="shared" si="121"/>
        <v>-</v>
      </c>
      <c r="BI84" s="67">
        <v>0</v>
      </c>
      <c r="BJ84" s="68">
        <v>0</v>
      </c>
      <c r="BK84" s="69">
        <v>0</v>
      </c>
      <c r="BL84" s="69">
        <v>0</v>
      </c>
      <c r="BM84" s="70">
        <f t="shared" si="122"/>
        <v>0</v>
      </c>
      <c r="BN84" s="70">
        <f t="shared" si="123"/>
        <v>0</v>
      </c>
      <c r="BO84" s="71" t="str">
        <f t="shared" si="124"/>
        <v>-</v>
      </c>
      <c r="BP84" s="67">
        <v>8</v>
      </c>
      <c r="BQ84" s="68">
        <v>8</v>
      </c>
      <c r="BR84" s="69">
        <v>42</v>
      </c>
      <c r="BS84" s="69">
        <v>21</v>
      </c>
      <c r="BT84" s="70">
        <f t="shared" si="125"/>
        <v>50</v>
      </c>
      <c r="BU84" s="70">
        <f t="shared" si="126"/>
        <v>29</v>
      </c>
      <c r="BV84" s="71">
        <f t="shared" si="127"/>
        <v>0.57999999999999996</v>
      </c>
      <c r="BW84" s="67">
        <f t="shared" si="140"/>
        <v>26</v>
      </c>
      <c r="BX84" s="68">
        <f t="shared" si="141"/>
        <v>18</v>
      </c>
      <c r="BY84" s="72">
        <f t="shared" si="142"/>
        <v>0.69230769230769229</v>
      </c>
      <c r="BZ84" s="73">
        <f t="shared" si="143"/>
        <v>99</v>
      </c>
      <c r="CA84" s="69">
        <f t="shared" si="144"/>
        <v>43</v>
      </c>
      <c r="CB84" s="74">
        <f t="shared" si="145"/>
        <v>0.43434343434343436</v>
      </c>
      <c r="CC84" s="75">
        <f t="shared" si="146"/>
        <v>125</v>
      </c>
      <c r="CD84" s="76">
        <f t="shared" si="147"/>
        <v>61</v>
      </c>
      <c r="CE84" s="84">
        <f t="shared" si="148"/>
        <v>0.48799999999999999</v>
      </c>
      <c r="CF84" s="83">
        <v>0</v>
      </c>
      <c r="CG84" s="78">
        <v>0</v>
      </c>
      <c r="CH84" s="85" t="str">
        <f t="shared" si="153"/>
        <v>-</v>
      </c>
    </row>
    <row r="85" spans="1:86" s="17" customFormat="1" ht="21" customHeight="1" x14ac:dyDescent="0.2">
      <c r="A85" s="103">
        <v>35</v>
      </c>
      <c r="B85" s="104" t="s">
        <v>67</v>
      </c>
      <c r="C85" s="65" t="s">
        <v>17</v>
      </c>
      <c r="D85" s="66" t="s">
        <v>19</v>
      </c>
      <c r="E85" s="67">
        <v>0</v>
      </c>
      <c r="F85" s="68">
        <v>0</v>
      </c>
      <c r="G85" s="69">
        <v>0</v>
      </c>
      <c r="H85" s="69">
        <v>0</v>
      </c>
      <c r="I85" s="70">
        <f t="shared" si="137"/>
        <v>0</v>
      </c>
      <c r="J85" s="70">
        <f t="shared" si="138"/>
        <v>0</v>
      </c>
      <c r="K85" s="71" t="str">
        <f t="shared" si="139"/>
        <v>-</v>
      </c>
      <c r="L85" s="67">
        <v>0</v>
      </c>
      <c r="M85" s="68">
        <v>0</v>
      </c>
      <c r="N85" s="69">
        <v>0</v>
      </c>
      <c r="O85" s="69">
        <v>0</v>
      </c>
      <c r="P85" s="70">
        <f t="shared" si="101"/>
        <v>0</v>
      </c>
      <c r="Q85" s="70">
        <f t="shared" si="102"/>
        <v>0</v>
      </c>
      <c r="R85" s="71" t="str">
        <f t="shared" si="103"/>
        <v>-</v>
      </c>
      <c r="S85" s="67">
        <v>11</v>
      </c>
      <c r="T85" s="68">
        <v>5</v>
      </c>
      <c r="U85" s="69">
        <v>12</v>
      </c>
      <c r="V85" s="69">
        <v>5</v>
      </c>
      <c r="W85" s="70">
        <f t="shared" si="104"/>
        <v>23</v>
      </c>
      <c r="X85" s="70">
        <f t="shared" si="105"/>
        <v>10</v>
      </c>
      <c r="Y85" s="71">
        <f t="shared" si="106"/>
        <v>0.43478260869565216</v>
      </c>
      <c r="Z85" s="67">
        <v>0</v>
      </c>
      <c r="AA85" s="68">
        <v>0</v>
      </c>
      <c r="AB85" s="69">
        <v>0</v>
      </c>
      <c r="AC85" s="69">
        <v>0</v>
      </c>
      <c r="AD85" s="70">
        <f t="shared" si="107"/>
        <v>0</v>
      </c>
      <c r="AE85" s="70">
        <f t="shared" si="108"/>
        <v>0</v>
      </c>
      <c r="AF85" s="71" t="str">
        <f t="shared" si="109"/>
        <v>-</v>
      </c>
      <c r="AG85" s="67">
        <v>0</v>
      </c>
      <c r="AH85" s="68">
        <v>0</v>
      </c>
      <c r="AI85" s="69">
        <v>0</v>
      </c>
      <c r="AJ85" s="69">
        <v>0</v>
      </c>
      <c r="AK85" s="70">
        <f t="shared" si="110"/>
        <v>0</v>
      </c>
      <c r="AL85" s="70">
        <f t="shared" si="111"/>
        <v>0</v>
      </c>
      <c r="AM85" s="71" t="str">
        <f t="shared" si="112"/>
        <v>-</v>
      </c>
      <c r="AN85" s="67">
        <v>5</v>
      </c>
      <c r="AO85" s="68">
        <v>2</v>
      </c>
      <c r="AP85" s="69">
        <v>76</v>
      </c>
      <c r="AQ85" s="69">
        <v>33</v>
      </c>
      <c r="AR85" s="70">
        <f t="shared" si="113"/>
        <v>81</v>
      </c>
      <c r="AS85" s="70">
        <f t="shared" si="114"/>
        <v>35</v>
      </c>
      <c r="AT85" s="71">
        <f t="shared" si="115"/>
        <v>0.43209876543209874</v>
      </c>
      <c r="AU85" s="67">
        <v>1</v>
      </c>
      <c r="AV85" s="68">
        <v>0</v>
      </c>
      <c r="AW85" s="69">
        <v>6</v>
      </c>
      <c r="AX85" s="69">
        <v>4</v>
      </c>
      <c r="AY85" s="70">
        <f t="shared" si="116"/>
        <v>7</v>
      </c>
      <c r="AZ85" s="70">
        <f t="shared" si="117"/>
        <v>4</v>
      </c>
      <c r="BA85" s="71">
        <f t="shared" si="118"/>
        <v>0.5714285714285714</v>
      </c>
      <c r="BB85" s="67">
        <v>0</v>
      </c>
      <c r="BC85" s="68">
        <v>0</v>
      </c>
      <c r="BD85" s="69">
        <v>0</v>
      </c>
      <c r="BE85" s="69">
        <v>0</v>
      </c>
      <c r="BF85" s="70">
        <f t="shared" si="119"/>
        <v>0</v>
      </c>
      <c r="BG85" s="70">
        <f t="shared" si="120"/>
        <v>0</v>
      </c>
      <c r="BH85" s="71" t="str">
        <f t="shared" si="121"/>
        <v>-</v>
      </c>
      <c r="BI85" s="67">
        <v>3</v>
      </c>
      <c r="BJ85" s="68">
        <v>1</v>
      </c>
      <c r="BK85" s="69">
        <v>54</v>
      </c>
      <c r="BL85" s="69">
        <v>36</v>
      </c>
      <c r="BM85" s="70">
        <f t="shared" si="122"/>
        <v>57</v>
      </c>
      <c r="BN85" s="70">
        <f t="shared" si="123"/>
        <v>37</v>
      </c>
      <c r="BO85" s="71">
        <f t="shared" si="124"/>
        <v>0.64912280701754388</v>
      </c>
      <c r="BP85" s="67">
        <v>2</v>
      </c>
      <c r="BQ85" s="68">
        <v>0</v>
      </c>
      <c r="BR85" s="69">
        <v>23</v>
      </c>
      <c r="BS85" s="69">
        <v>5</v>
      </c>
      <c r="BT85" s="70">
        <f t="shared" si="125"/>
        <v>25</v>
      </c>
      <c r="BU85" s="70">
        <f t="shared" si="126"/>
        <v>5</v>
      </c>
      <c r="BV85" s="71">
        <f t="shared" si="127"/>
        <v>0.2</v>
      </c>
      <c r="BW85" s="67">
        <f t="shared" si="140"/>
        <v>22</v>
      </c>
      <c r="BX85" s="68">
        <f t="shared" si="141"/>
        <v>8</v>
      </c>
      <c r="BY85" s="72">
        <f t="shared" si="142"/>
        <v>0.36363636363636365</v>
      </c>
      <c r="BZ85" s="73">
        <f t="shared" si="143"/>
        <v>171</v>
      </c>
      <c r="CA85" s="69">
        <f t="shared" si="144"/>
        <v>83</v>
      </c>
      <c r="CB85" s="74">
        <f t="shared" si="145"/>
        <v>0.4853801169590643</v>
      </c>
      <c r="CC85" s="75">
        <f t="shared" si="146"/>
        <v>193</v>
      </c>
      <c r="CD85" s="76">
        <f t="shared" si="147"/>
        <v>91</v>
      </c>
      <c r="CE85" s="84">
        <f t="shared" si="148"/>
        <v>0.47150259067357514</v>
      </c>
      <c r="CF85" s="83">
        <v>10</v>
      </c>
      <c r="CG85" s="78">
        <v>10</v>
      </c>
      <c r="CH85" s="85">
        <f t="shared" si="153"/>
        <v>1</v>
      </c>
    </row>
    <row r="86" spans="1:86" s="17" customFormat="1" ht="21" customHeight="1" x14ac:dyDescent="0.2">
      <c r="A86" s="103">
        <v>36</v>
      </c>
      <c r="B86" s="104" t="s">
        <v>39</v>
      </c>
      <c r="C86" s="65" t="s">
        <v>15</v>
      </c>
      <c r="D86" s="66" t="s">
        <v>16</v>
      </c>
      <c r="E86" s="67">
        <v>0</v>
      </c>
      <c r="F86" s="68">
        <v>0</v>
      </c>
      <c r="G86" s="69">
        <v>0</v>
      </c>
      <c r="H86" s="69">
        <v>0</v>
      </c>
      <c r="I86" s="70">
        <f t="shared" si="137"/>
        <v>0</v>
      </c>
      <c r="J86" s="70">
        <f t="shared" si="138"/>
        <v>0</v>
      </c>
      <c r="K86" s="71" t="str">
        <f t="shared" si="139"/>
        <v>-</v>
      </c>
      <c r="L86" s="67">
        <v>0</v>
      </c>
      <c r="M86" s="68">
        <v>0</v>
      </c>
      <c r="N86" s="69">
        <v>0</v>
      </c>
      <c r="O86" s="69">
        <v>0</v>
      </c>
      <c r="P86" s="70">
        <f t="shared" si="101"/>
        <v>0</v>
      </c>
      <c r="Q86" s="70">
        <f t="shared" si="102"/>
        <v>0</v>
      </c>
      <c r="R86" s="71" t="str">
        <f t="shared" si="103"/>
        <v>-</v>
      </c>
      <c r="S86" s="67">
        <v>0</v>
      </c>
      <c r="T86" s="68">
        <v>0</v>
      </c>
      <c r="U86" s="69">
        <v>24</v>
      </c>
      <c r="V86" s="69">
        <v>0</v>
      </c>
      <c r="W86" s="70">
        <f t="shared" si="104"/>
        <v>24</v>
      </c>
      <c r="X86" s="70">
        <f t="shared" si="105"/>
        <v>0</v>
      </c>
      <c r="Y86" s="71">
        <f t="shared" si="106"/>
        <v>0</v>
      </c>
      <c r="Z86" s="67">
        <v>0</v>
      </c>
      <c r="AA86" s="68">
        <v>0</v>
      </c>
      <c r="AB86" s="69">
        <v>0</v>
      </c>
      <c r="AC86" s="69">
        <v>0</v>
      </c>
      <c r="AD86" s="70">
        <f t="shared" si="107"/>
        <v>0</v>
      </c>
      <c r="AE86" s="70">
        <f t="shared" si="108"/>
        <v>0</v>
      </c>
      <c r="AF86" s="71" t="str">
        <f t="shared" si="109"/>
        <v>-</v>
      </c>
      <c r="AG86" s="67">
        <v>0</v>
      </c>
      <c r="AH86" s="68">
        <v>0</v>
      </c>
      <c r="AI86" s="69">
        <v>0</v>
      </c>
      <c r="AJ86" s="69">
        <v>0</v>
      </c>
      <c r="AK86" s="70">
        <f t="shared" si="110"/>
        <v>0</v>
      </c>
      <c r="AL86" s="70">
        <f t="shared" si="111"/>
        <v>0</v>
      </c>
      <c r="AM86" s="71" t="str">
        <f t="shared" si="112"/>
        <v>-</v>
      </c>
      <c r="AN86" s="67">
        <v>0</v>
      </c>
      <c r="AO86" s="68">
        <v>0</v>
      </c>
      <c r="AP86" s="69">
        <v>35</v>
      </c>
      <c r="AQ86" s="69">
        <v>0</v>
      </c>
      <c r="AR86" s="70">
        <f t="shared" si="113"/>
        <v>35</v>
      </c>
      <c r="AS86" s="70">
        <f t="shared" si="114"/>
        <v>0</v>
      </c>
      <c r="AT86" s="71">
        <f t="shared" si="115"/>
        <v>0</v>
      </c>
      <c r="AU86" s="67">
        <v>0</v>
      </c>
      <c r="AV86" s="68">
        <v>0</v>
      </c>
      <c r="AW86" s="69">
        <v>0</v>
      </c>
      <c r="AX86" s="69">
        <v>0</v>
      </c>
      <c r="AY86" s="70">
        <f t="shared" si="116"/>
        <v>0</v>
      </c>
      <c r="AZ86" s="70">
        <f t="shared" si="117"/>
        <v>0</v>
      </c>
      <c r="BA86" s="71" t="str">
        <f t="shared" si="118"/>
        <v>-</v>
      </c>
      <c r="BB86" s="67">
        <v>0</v>
      </c>
      <c r="BC86" s="68">
        <v>0</v>
      </c>
      <c r="BD86" s="69">
        <v>49</v>
      </c>
      <c r="BE86" s="69">
        <v>0</v>
      </c>
      <c r="BF86" s="70">
        <f t="shared" si="119"/>
        <v>49</v>
      </c>
      <c r="BG86" s="70">
        <f t="shared" si="120"/>
        <v>0</v>
      </c>
      <c r="BH86" s="71">
        <f t="shared" si="121"/>
        <v>0</v>
      </c>
      <c r="BI86" s="67">
        <v>0</v>
      </c>
      <c r="BJ86" s="68">
        <v>0</v>
      </c>
      <c r="BK86" s="69">
        <v>15</v>
      </c>
      <c r="BL86" s="69">
        <v>0</v>
      </c>
      <c r="BM86" s="70">
        <f t="shared" si="122"/>
        <v>15</v>
      </c>
      <c r="BN86" s="70">
        <f t="shared" si="123"/>
        <v>0</v>
      </c>
      <c r="BO86" s="71">
        <f t="shared" si="124"/>
        <v>0</v>
      </c>
      <c r="BP86" s="67">
        <v>0</v>
      </c>
      <c r="BQ86" s="68">
        <v>0</v>
      </c>
      <c r="BR86" s="69">
        <v>0</v>
      </c>
      <c r="BS86" s="69">
        <v>0</v>
      </c>
      <c r="BT86" s="70">
        <f t="shared" si="125"/>
        <v>0</v>
      </c>
      <c r="BU86" s="70">
        <f t="shared" si="126"/>
        <v>0</v>
      </c>
      <c r="BV86" s="71" t="str">
        <f t="shared" si="127"/>
        <v>-</v>
      </c>
      <c r="BW86" s="67">
        <f t="shared" si="140"/>
        <v>0</v>
      </c>
      <c r="BX86" s="68">
        <f t="shared" si="141"/>
        <v>0</v>
      </c>
      <c r="BY86" s="72" t="str">
        <f t="shared" si="142"/>
        <v>-</v>
      </c>
      <c r="BZ86" s="73">
        <f t="shared" si="143"/>
        <v>123</v>
      </c>
      <c r="CA86" s="69">
        <f t="shared" si="144"/>
        <v>0</v>
      </c>
      <c r="CB86" s="74">
        <f t="shared" si="145"/>
        <v>0</v>
      </c>
      <c r="CC86" s="75">
        <f t="shared" si="146"/>
        <v>123</v>
      </c>
      <c r="CD86" s="76">
        <f t="shared" si="147"/>
        <v>0</v>
      </c>
      <c r="CE86" s="84">
        <f t="shared" si="148"/>
        <v>0</v>
      </c>
      <c r="CF86" s="83">
        <v>0</v>
      </c>
      <c r="CG86" s="78">
        <v>0</v>
      </c>
      <c r="CH86" s="85" t="str">
        <f t="shared" si="153"/>
        <v>-</v>
      </c>
    </row>
    <row r="87" spans="1:86" s="17" customFormat="1" ht="21" customHeight="1" x14ac:dyDescent="0.2">
      <c r="A87" s="103">
        <v>37</v>
      </c>
      <c r="B87" s="104" t="s">
        <v>70</v>
      </c>
      <c r="C87" s="65" t="s">
        <v>15</v>
      </c>
      <c r="D87" s="66" t="s">
        <v>16</v>
      </c>
      <c r="E87" s="67">
        <v>0</v>
      </c>
      <c r="F87" s="68">
        <v>0</v>
      </c>
      <c r="G87" s="69">
        <v>0</v>
      </c>
      <c r="H87" s="69">
        <v>0</v>
      </c>
      <c r="I87" s="70">
        <f t="shared" si="137"/>
        <v>0</v>
      </c>
      <c r="J87" s="70">
        <f t="shared" si="138"/>
        <v>0</v>
      </c>
      <c r="K87" s="71" t="str">
        <f t="shared" si="139"/>
        <v>-</v>
      </c>
      <c r="L87" s="67">
        <v>0</v>
      </c>
      <c r="M87" s="68">
        <v>0</v>
      </c>
      <c r="N87" s="69">
        <v>0</v>
      </c>
      <c r="O87" s="69">
        <v>0</v>
      </c>
      <c r="P87" s="70">
        <f t="shared" si="101"/>
        <v>0</v>
      </c>
      <c r="Q87" s="70">
        <f t="shared" si="102"/>
        <v>0</v>
      </c>
      <c r="R87" s="71" t="str">
        <f t="shared" si="103"/>
        <v>-</v>
      </c>
      <c r="S87" s="67">
        <v>0</v>
      </c>
      <c r="T87" s="68">
        <v>0</v>
      </c>
      <c r="U87" s="69">
        <v>0</v>
      </c>
      <c r="V87" s="69">
        <v>0</v>
      </c>
      <c r="W87" s="70">
        <f t="shared" si="104"/>
        <v>0</v>
      </c>
      <c r="X87" s="70">
        <f t="shared" si="105"/>
        <v>0</v>
      </c>
      <c r="Y87" s="71" t="str">
        <f t="shared" si="106"/>
        <v>-</v>
      </c>
      <c r="Z87" s="67">
        <v>0</v>
      </c>
      <c r="AA87" s="68">
        <v>0</v>
      </c>
      <c r="AB87" s="69">
        <v>0</v>
      </c>
      <c r="AC87" s="69">
        <v>0</v>
      </c>
      <c r="AD87" s="70">
        <f t="shared" si="107"/>
        <v>0</v>
      </c>
      <c r="AE87" s="70">
        <f t="shared" si="108"/>
        <v>0</v>
      </c>
      <c r="AF87" s="71" t="str">
        <f t="shared" si="109"/>
        <v>-</v>
      </c>
      <c r="AG87" s="67">
        <v>0</v>
      </c>
      <c r="AH87" s="68">
        <v>0</v>
      </c>
      <c r="AI87" s="69">
        <v>0</v>
      </c>
      <c r="AJ87" s="69">
        <v>0</v>
      </c>
      <c r="AK87" s="70">
        <f t="shared" si="110"/>
        <v>0</v>
      </c>
      <c r="AL87" s="70">
        <f t="shared" si="111"/>
        <v>0</v>
      </c>
      <c r="AM87" s="71" t="str">
        <f t="shared" si="112"/>
        <v>-</v>
      </c>
      <c r="AN87" s="67">
        <v>0</v>
      </c>
      <c r="AO87" s="68">
        <v>0</v>
      </c>
      <c r="AP87" s="69">
        <v>0</v>
      </c>
      <c r="AQ87" s="69">
        <v>0</v>
      </c>
      <c r="AR87" s="70">
        <f t="shared" si="113"/>
        <v>0</v>
      </c>
      <c r="AS87" s="70">
        <f t="shared" si="114"/>
        <v>0</v>
      </c>
      <c r="AT87" s="71" t="str">
        <f t="shared" si="115"/>
        <v>-</v>
      </c>
      <c r="AU87" s="67">
        <v>0</v>
      </c>
      <c r="AV87" s="68">
        <v>0</v>
      </c>
      <c r="AW87" s="69">
        <v>0</v>
      </c>
      <c r="AX87" s="69">
        <v>0</v>
      </c>
      <c r="AY87" s="70">
        <f t="shared" si="116"/>
        <v>0</v>
      </c>
      <c r="AZ87" s="70">
        <f t="shared" si="117"/>
        <v>0</v>
      </c>
      <c r="BA87" s="71" t="str">
        <f t="shared" si="118"/>
        <v>-</v>
      </c>
      <c r="BB87" s="67">
        <v>0</v>
      </c>
      <c r="BC87" s="68">
        <v>0</v>
      </c>
      <c r="BD87" s="69">
        <v>0</v>
      </c>
      <c r="BE87" s="69">
        <v>0</v>
      </c>
      <c r="BF87" s="70">
        <f t="shared" si="119"/>
        <v>0</v>
      </c>
      <c r="BG87" s="70">
        <f t="shared" si="120"/>
        <v>0</v>
      </c>
      <c r="BH87" s="71" t="str">
        <f t="shared" si="121"/>
        <v>-</v>
      </c>
      <c r="BI87" s="67">
        <v>0</v>
      </c>
      <c r="BJ87" s="68">
        <v>0</v>
      </c>
      <c r="BK87" s="69">
        <v>0</v>
      </c>
      <c r="BL87" s="69">
        <v>0</v>
      </c>
      <c r="BM87" s="70">
        <f t="shared" si="122"/>
        <v>0</v>
      </c>
      <c r="BN87" s="70">
        <f t="shared" si="123"/>
        <v>0</v>
      </c>
      <c r="BO87" s="71" t="str">
        <f t="shared" si="124"/>
        <v>-</v>
      </c>
      <c r="BP87" s="67">
        <v>0</v>
      </c>
      <c r="BQ87" s="68">
        <v>0</v>
      </c>
      <c r="BR87" s="69">
        <v>0</v>
      </c>
      <c r="BS87" s="69">
        <v>0</v>
      </c>
      <c r="BT87" s="70">
        <f t="shared" si="125"/>
        <v>0</v>
      </c>
      <c r="BU87" s="70">
        <f t="shared" si="126"/>
        <v>0</v>
      </c>
      <c r="BV87" s="71" t="str">
        <f t="shared" si="127"/>
        <v>-</v>
      </c>
      <c r="BW87" s="67">
        <f t="shared" si="140"/>
        <v>0</v>
      </c>
      <c r="BX87" s="68">
        <f t="shared" si="141"/>
        <v>0</v>
      </c>
      <c r="BY87" s="72" t="str">
        <f t="shared" si="142"/>
        <v>-</v>
      </c>
      <c r="BZ87" s="73">
        <f t="shared" si="143"/>
        <v>0</v>
      </c>
      <c r="CA87" s="69">
        <f t="shared" si="144"/>
        <v>0</v>
      </c>
      <c r="CB87" s="74" t="str">
        <f t="shared" si="145"/>
        <v>-</v>
      </c>
      <c r="CC87" s="75">
        <f t="shared" si="146"/>
        <v>0</v>
      </c>
      <c r="CD87" s="76">
        <f t="shared" si="147"/>
        <v>0</v>
      </c>
      <c r="CE87" s="84" t="str">
        <f t="shared" si="148"/>
        <v>-</v>
      </c>
      <c r="CF87" s="83">
        <v>0</v>
      </c>
      <c r="CG87" s="78">
        <v>0</v>
      </c>
      <c r="CH87" s="85" t="str">
        <f t="shared" si="153"/>
        <v>-</v>
      </c>
    </row>
    <row r="88" spans="1:86" s="17" customFormat="1" ht="21" customHeight="1" x14ac:dyDescent="0.2">
      <c r="A88" s="103">
        <v>38</v>
      </c>
      <c r="B88" s="104" t="s">
        <v>73</v>
      </c>
      <c r="C88" s="65" t="s">
        <v>15</v>
      </c>
      <c r="D88" s="66" t="s">
        <v>16</v>
      </c>
      <c r="E88" s="67">
        <v>0</v>
      </c>
      <c r="F88" s="68">
        <v>0</v>
      </c>
      <c r="G88" s="69">
        <v>0</v>
      </c>
      <c r="H88" s="69">
        <v>0</v>
      </c>
      <c r="I88" s="70">
        <f t="shared" si="137"/>
        <v>0</v>
      </c>
      <c r="J88" s="70">
        <f t="shared" si="138"/>
        <v>0</v>
      </c>
      <c r="K88" s="71" t="str">
        <f t="shared" si="139"/>
        <v>-</v>
      </c>
      <c r="L88" s="67">
        <v>0</v>
      </c>
      <c r="M88" s="68">
        <v>0</v>
      </c>
      <c r="N88" s="69">
        <v>0</v>
      </c>
      <c r="O88" s="69">
        <v>0</v>
      </c>
      <c r="P88" s="70">
        <f t="shared" si="101"/>
        <v>0</v>
      </c>
      <c r="Q88" s="70">
        <f t="shared" si="102"/>
        <v>0</v>
      </c>
      <c r="R88" s="71" t="str">
        <f t="shared" si="103"/>
        <v>-</v>
      </c>
      <c r="S88" s="67">
        <v>0</v>
      </c>
      <c r="T88" s="68">
        <v>0</v>
      </c>
      <c r="U88" s="69">
        <v>0</v>
      </c>
      <c r="V88" s="69">
        <v>0</v>
      </c>
      <c r="W88" s="70">
        <f t="shared" si="104"/>
        <v>0</v>
      </c>
      <c r="X88" s="70">
        <f t="shared" si="105"/>
        <v>0</v>
      </c>
      <c r="Y88" s="71" t="str">
        <f t="shared" si="106"/>
        <v>-</v>
      </c>
      <c r="Z88" s="67">
        <v>0</v>
      </c>
      <c r="AA88" s="68">
        <v>0</v>
      </c>
      <c r="AB88" s="69">
        <v>0</v>
      </c>
      <c r="AC88" s="69">
        <v>0</v>
      </c>
      <c r="AD88" s="70">
        <f t="shared" si="107"/>
        <v>0</v>
      </c>
      <c r="AE88" s="70">
        <f t="shared" si="108"/>
        <v>0</v>
      </c>
      <c r="AF88" s="71" t="str">
        <f t="shared" si="109"/>
        <v>-</v>
      </c>
      <c r="AG88" s="67">
        <v>0</v>
      </c>
      <c r="AH88" s="68">
        <v>0</v>
      </c>
      <c r="AI88" s="69">
        <v>0</v>
      </c>
      <c r="AJ88" s="69">
        <v>0</v>
      </c>
      <c r="AK88" s="70">
        <f t="shared" si="110"/>
        <v>0</v>
      </c>
      <c r="AL88" s="70">
        <f t="shared" si="111"/>
        <v>0</v>
      </c>
      <c r="AM88" s="71" t="str">
        <f t="shared" si="112"/>
        <v>-</v>
      </c>
      <c r="AN88" s="67">
        <v>0</v>
      </c>
      <c r="AO88" s="68">
        <v>0</v>
      </c>
      <c r="AP88" s="69">
        <v>0</v>
      </c>
      <c r="AQ88" s="69">
        <v>0</v>
      </c>
      <c r="AR88" s="70">
        <f t="shared" si="113"/>
        <v>0</v>
      </c>
      <c r="AS88" s="70">
        <f t="shared" si="114"/>
        <v>0</v>
      </c>
      <c r="AT88" s="71" t="str">
        <f t="shared" si="115"/>
        <v>-</v>
      </c>
      <c r="AU88" s="67">
        <v>0</v>
      </c>
      <c r="AV88" s="68">
        <v>0</v>
      </c>
      <c r="AW88" s="69">
        <v>0</v>
      </c>
      <c r="AX88" s="69">
        <v>0</v>
      </c>
      <c r="AY88" s="70">
        <f t="shared" si="116"/>
        <v>0</v>
      </c>
      <c r="AZ88" s="70">
        <f t="shared" si="117"/>
        <v>0</v>
      </c>
      <c r="BA88" s="71" t="str">
        <f t="shared" si="118"/>
        <v>-</v>
      </c>
      <c r="BB88" s="67">
        <v>0</v>
      </c>
      <c r="BC88" s="68">
        <v>0</v>
      </c>
      <c r="BD88" s="69">
        <v>0</v>
      </c>
      <c r="BE88" s="69">
        <v>0</v>
      </c>
      <c r="BF88" s="70">
        <f t="shared" si="119"/>
        <v>0</v>
      </c>
      <c r="BG88" s="70">
        <f t="shared" si="120"/>
        <v>0</v>
      </c>
      <c r="BH88" s="71" t="str">
        <f t="shared" si="121"/>
        <v>-</v>
      </c>
      <c r="BI88" s="67">
        <v>0</v>
      </c>
      <c r="BJ88" s="68">
        <v>0</v>
      </c>
      <c r="BK88" s="69">
        <v>0</v>
      </c>
      <c r="BL88" s="69">
        <v>0</v>
      </c>
      <c r="BM88" s="70">
        <f t="shared" si="122"/>
        <v>0</v>
      </c>
      <c r="BN88" s="70">
        <f t="shared" si="123"/>
        <v>0</v>
      </c>
      <c r="BO88" s="71" t="str">
        <f t="shared" si="124"/>
        <v>-</v>
      </c>
      <c r="BP88" s="67">
        <v>0</v>
      </c>
      <c r="BQ88" s="68">
        <v>0</v>
      </c>
      <c r="BR88" s="69">
        <v>0</v>
      </c>
      <c r="BS88" s="69">
        <v>0</v>
      </c>
      <c r="BT88" s="70">
        <f t="shared" si="125"/>
        <v>0</v>
      </c>
      <c r="BU88" s="70">
        <f t="shared" si="126"/>
        <v>0</v>
      </c>
      <c r="BV88" s="71" t="str">
        <f t="shared" si="127"/>
        <v>-</v>
      </c>
      <c r="BW88" s="67">
        <f t="shared" si="140"/>
        <v>0</v>
      </c>
      <c r="BX88" s="68">
        <f t="shared" si="141"/>
        <v>0</v>
      </c>
      <c r="BY88" s="72" t="str">
        <f t="shared" si="142"/>
        <v>-</v>
      </c>
      <c r="BZ88" s="73">
        <f t="shared" si="143"/>
        <v>0</v>
      </c>
      <c r="CA88" s="69">
        <f t="shared" si="144"/>
        <v>0</v>
      </c>
      <c r="CB88" s="74" t="str">
        <f t="shared" si="145"/>
        <v>-</v>
      </c>
      <c r="CC88" s="75">
        <f t="shared" si="146"/>
        <v>0</v>
      </c>
      <c r="CD88" s="76">
        <f t="shared" si="147"/>
        <v>0</v>
      </c>
      <c r="CE88" s="84" t="str">
        <f t="shared" si="148"/>
        <v>-</v>
      </c>
      <c r="CF88" s="83">
        <v>0</v>
      </c>
      <c r="CG88" s="78">
        <v>0</v>
      </c>
      <c r="CH88" s="85" t="str">
        <f t="shared" si="153"/>
        <v>-</v>
      </c>
    </row>
    <row r="89" spans="1:86" s="17" customFormat="1" ht="25.5" customHeight="1" thickBot="1" x14ac:dyDescent="0.25">
      <c r="A89" s="86"/>
      <c r="B89" s="87" t="s">
        <v>0</v>
      </c>
      <c r="C89" s="88"/>
      <c r="D89" s="89"/>
      <c r="E89" s="90">
        <f>SUM(E51:E88)</f>
        <v>282</v>
      </c>
      <c r="F89" s="91">
        <f>SUM(F51:F88)</f>
        <v>84</v>
      </c>
      <c r="G89" s="92">
        <f>SUM(G51:G88)</f>
        <v>0</v>
      </c>
      <c r="H89" s="92">
        <f>SUM(H51:H88)</f>
        <v>0</v>
      </c>
      <c r="I89" s="93">
        <f>SUM(E89,G89)</f>
        <v>282</v>
      </c>
      <c r="J89" s="93">
        <f>SUM(F89,H89)</f>
        <v>84</v>
      </c>
      <c r="K89" s="94">
        <f t="shared" ref="K89" si="154">IFERROR(J89/I89,"-")</f>
        <v>0.2978723404255319</v>
      </c>
      <c r="L89" s="90">
        <f>SUM(L51:L88)</f>
        <v>467</v>
      </c>
      <c r="M89" s="91">
        <f>SUM(M51:M88)</f>
        <v>119</v>
      </c>
      <c r="N89" s="92">
        <f>SUM(N51:N88)</f>
        <v>92</v>
      </c>
      <c r="O89" s="92">
        <f>SUM(O51:O88)</f>
        <v>35</v>
      </c>
      <c r="P89" s="93">
        <f>SUM(L89,N89)</f>
        <v>559</v>
      </c>
      <c r="Q89" s="93">
        <f>SUM(M89,O89)</f>
        <v>154</v>
      </c>
      <c r="R89" s="94">
        <f t="shared" ref="R89" si="155">IFERROR(Q89/P89,"-")</f>
        <v>0.27549194991055453</v>
      </c>
      <c r="S89" s="90">
        <f>SUM(S51:S88)</f>
        <v>617</v>
      </c>
      <c r="T89" s="91">
        <f>SUM(T51:T88)</f>
        <v>120</v>
      </c>
      <c r="U89" s="92">
        <f>SUM(U51:U88)</f>
        <v>252</v>
      </c>
      <c r="V89" s="92">
        <f>SUM(V51:V88)</f>
        <v>73</v>
      </c>
      <c r="W89" s="93">
        <f>SUM(S89,U89)</f>
        <v>869</v>
      </c>
      <c r="X89" s="93">
        <f>SUM(T89,V89)</f>
        <v>193</v>
      </c>
      <c r="Y89" s="94">
        <f t="shared" ref="Y89" si="156">IFERROR(X89/W89,"-")</f>
        <v>0.22209436133486765</v>
      </c>
      <c r="Z89" s="90">
        <f>SUM(Z51:Z88)</f>
        <v>54</v>
      </c>
      <c r="AA89" s="91">
        <f>SUM(AA51:AA88)</f>
        <v>19</v>
      </c>
      <c r="AB89" s="92">
        <f>SUM(AB51:AB88)</f>
        <v>0</v>
      </c>
      <c r="AC89" s="92">
        <f>SUM(AC51:AC88)</f>
        <v>0</v>
      </c>
      <c r="AD89" s="93">
        <f>SUM(Z89,AB89)</f>
        <v>54</v>
      </c>
      <c r="AE89" s="93">
        <f>SUM(AA89,AC89)</f>
        <v>19</v>
      </c>
      <c r="AF89" s="94">
        <f t="shared" ref="AF89" si="157">IFERROR(AE89/AD89,"-")</f>
        <v>0.35185185185185186</v>
      </c>
      <c r="AG89" s="90">
        <f>SUM(AG51:AG88)</f>
        <v>503</v>
      </c>
      <c r="AH89" s="91">
        <f>SUM(AH51:AH88)</f>
        <v>134</v>
      </c>
      <c r="AI89" s="92">
        <f>SUM(AI51:AI88)</f>
        <v>548</v>
      </c>
      <c r="AJ89" s="92">
        <f>SUM(AJ51:AJ88)</f>
        <v>208</v>
      </c>
      <c r="AK89" s="93">
        <f>SUM(AG89,AI89)</f>
        <v>1051</v>
      </c>
      <c r="AL89" s="93">
        <f>SUM(AH89,AJ89)</f>
        <v>342</v>
      </c>
      <c r="AM89" s="94">
        <f t="shared" ref="AM89" si="158">IFERROR(AL89/AK89,"-")</f>
        <v>0.32540437678401524</v>
      </c>
      <c r="AN89" s="90">
        <f>SUM(AN51:AN88)</f>
        <v>466</v>
      </c>
      <c r="AO89" s="91">
        <f>SUM(AO51:AO88)</f>
        <v>116</v>
      </c>
      <c r="AP89" s="92">
        <f>SUM(AP51:AP88)</f>
        <v>1539</v>
      </c>
      <c r="AQ89" s="92">
        <f>SUM(AQ51:AQ88)</f>
        <v>463</v>
      </c>
      <c r="AR89" s="93">
        <f>SUM(AN89,AP89)</f>
        <v>2005</v>
      </c>
      <c r="AS89" s="93">
        <f>SUM(AO89,AQ89)</f>
        <v>579</v>
      </c>
      <c r="AT89" s="94">
        <f t="shared" ref="AT89" si="159">IFERROR(AS89/AR89,"-")</f>
        <v>0.28877805486284291</v>
      </c>
      <c r="AU89" s="90">
        <f>SUM(AU51:AU88)</f>
        <v>783</v>
      </c>
      <c r="AV89" s="91">
        <f>SUM(AV51:AV88)</f>
        <v>472</v>
      </c>
      <c r="AW89" s="92">
        <f>SUM(AW51:AW88)</f>
        <v>418</v>
      </c>
      <c r="AX89" s="92">
        <f>SUM(AX51:AX88)</f>
        <v>203</v>
      </c>
      <c r="AY89" s="93">
        <f>SUM(AU89,AW89)</f>
        <v>1201</v>
      </c>
      <c r="AZ89" s="93">
        <f>SUM(AV89,AX89)</f>
        <v>675</v>
      </c>
      <c r="BA89" s="94">
        <f t="shared" ref="BA89" si="160">IFERROR(AZ89/AY89,"-")</f>
        <v>0.56203164029975017</v>
      </c>
      <c r="BB89" s="90">
        <f>SUM(BB51:BB88)</f>
        <v>191</v>
      </c>
      <c r="BC89" s="91">
        <f>SUM(BC51:BC88)</f>
        <v>53</v>
      </c>
      <c r="BD89" s="92">
        <f>SUM(BD51:BD88)</f>
        <v>354</v>
      </c>
      <c r="BE89" s="92">
        <f>SUM(BE51:BE88)</f>
        <v>118</v>
      </c>
      <c r="BF89" s="93">
        <f>SUM(BB89,BD89)</f>
        <v>545</v>
      </c>
      <c r="BG89" s="93">
        <f>SUM(BC89,BE89)</f>
        <v>171</v>
      </c>
      <c r="BH89" s="94">
        <f t="shared" ref="BH89" si="161">IFERROR(BG89/BF89,"-")</f>
        <v>0.31376146788990827</v>
      </c>
      <c r="BI89" s="90">
        <f>SUM(BI51:BI88)</f>
        <v>162</v>
      </c>
      <c r="BJ89" s="91">
        <f>SUM(BJ51:BJ88)</f>
        <v>30</v>
      </c>
      <c r="BK89" s="92">
        <f>SUM(BK51:BK88)</f>
        <v>492</v>
      </c>
      <c r="BL89" s="92">
        <f>SUM(BL51:BL88)</f>
        <v>154</v>
      </c>
      <c r="BM89" s="93">
        <f>SUM(BI89,BK89)</f>
        <v>654</v>
      </c>
      <c r="BN89" s="93">
        <f>SUM(BJ89,BL89)</f>
        <v>184</v>
      </c>
      <c r="BO89" s="94">
        <f t="shared" ref="BO89" si="162">IFERROR(BN89/BM89,"-")</f>
        <v>0.28134556574923547</v>
      </c>
      <c r="BP89" s="90">
        <f>SUM(BP51:BP88)</f>
        <v>331</v>
      </c>
      <c r="BQ89" s="91">
        <f>SUM(BQ51:BQ88)</f>
        <v>74</v>
      </c>
      <c r="BR89" s="92">
        <f>SUM(BR51:BR88)</f>
        <v>452</v>
      </c>
      <c r="BS89" s="92">
        <f>SUM(BS51:BS88)</f>
        <v>177</v>
      </c>
      <c r="BT89" s="93">
        <f>SUM(BP89,BR89)</f>
        <v>783</v>
      </c>
      <c r="BU89" s="93">
        <f>SUM(BQ89,BS89)</f>
        <v>251</v>
      </c>
      <c r="BV89" s="94">
        <f t="shared" ref="BV89" si="163">IFERROR(BU89/BT89,"-")</f>
        <v>0.32056194125159643</v>
      </c>
      <c r="BW89" s="90">
        <f>SUM(BW51:BW88)</f>
        <v>3856</v>
      </c>
      <c r="BX89" s="91">
        <f>SUM(BX51:BX88)</f>
        <v>1221</v>
      </c>
      <c r="BY89" s="95">
        <f t="shared" ref="BY89" si="164">IFERROR(BX89/BW89,"-")</f>
        <v>0.31664937759336098</v>
      </c>
      <c r="BZ89" s="96">
        <f>SUM(BZ51:BZ88)</f>
        <v>4147</v>
      </c>
      <c r="CA89" s="92">
        <f>SUM(CA51:CA88)</f>
        <v>1431</v>
      </c>
      <c r="CB89" s="97">
        <f t="shared" ref="CB89" si="165">IFERROR(CA89/BZ89,"-")</f>
        <v>0.34506872437906921</v>
      </c>
      <c r="CC89" s="98">
        <f>SUM(CC51:CC88)</f>
        <v>8003</v>
      </c>
      <c r="CD89" s="99">
        <f>SUM(CD51:CD88)</f>
        <v>2652</v>
      </c>
      <c r="CE89" s="100">
        <f t="shared" ref="CE89" si="166">IFERROR(CD89/CC89,"-")</f>
        <v>0.3313757340997126</v>
      </c>
      <c r="CF89" s="101">
        <f>SUM(CF51:CF88)</f>
        <v>128</v>
      </c>
      <c r="CG89" s="58">
        <f>SUM(CG51:CG88)</f>
        <v>113</v>
      </c>
      <c r="CH89" s="102">
        <f t="shared" ref="CH89" si="167">IFERROR(CG89/CF89,"-")</f>
        <v>0.8828125</v>
      </c>
    </row>
    <row r="90" spans="1:86" ht="15.75" thickTop="1" x14ac:dyDescent="0.25"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</row>
    <row r="91" spans="1:86" x14ac:dyDescent="0.25"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</row>
    <row r="92" spans="1:86" x14ac:dyDescent="0.25"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</row>
    <row r="93" spans="1:86" x14ac:dyDescent="0.25"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</row>
    <row r="94" spans="1:86" x14ac:dyDescent="0.25"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</row>
    <row r="95" spans="1:86" x14ac:dyDescent="0.25"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</row>
  </sheetData>
  <mergeCells count="135">
    <mergeCell ref="CE5:CE6"/>
    <mergeCell ref="CF5:CF6"/>
    <mergeCell ref="CG5:CG6"/>
    <mergeCell ref="CH5:CH6"/>
    <mergeCell ref="BT48:BV49"/>
    <mergeCell ref="BP49:BQ49"/>
    <mergeCell ref="BR49:BS49"/>
    <mergeCell ref="BW47:BY48"/>
    <mergeCell ref="BZ47:CB48"/>
    <mergeCell ref="CC47:CE48"/>
    <mergeCell ref="CF47:CH48"/>
    <mergeCell ref="BW49:BW50"/>
    <mergeCell ref="BX49:BX50"/>
    <mergeCell ref="BY49:BY50"/>
    <mergeCell ref="BZ49:BZ50"/>
    <mergeCell ref="CA49:CA50"/>
    <mergeCell ref="CB49:CB50"/>
    <mergeCell ref="CC49:CC50"/>
    <mergeCell ref="CD49:CD50"/>
    <mergeCell ref="CE49:CE50"/>
    <mergeCell ref="CF49:CF50"/>
    <mergeCell ref="CG49:CG50"/>
    <mergeCell ref="CH49:CH50"/>
    <mergeCell ref="AB5:AC5"/>
    <mergeCell ref="AG5:AH5"/>
    <mergeCell ref="AI5:AJ5"/>
    <mergeCell ref="AN5:AO5"/>
    <mergeCell ref="Z4:AC4"/>
    <mergeCell ref="AD4:AF5"/>
    <mergeCell ref="E47:BV47"/>
    <mergeCell ref="BB48:BE48"/>
    <mergeCell ref="BF48:BH49"/>
    <mergeCell ref="BB49:BC49"/>
    <mergeCell ref="BD49:BE49"/>
    <mergeCell ref="W48:Y49"/>
    <mergeCell ref="Z48:AC48"/>
    <mergeCell ref="AD48:AF49"/>
    <mergeCell ref="AG48:AJ48"/>
    <mergeCell ref="AK48:AM49"/>
    <mergeCell ref="AN48:AQ48"/>
    <mergeCell ref="AR48:AT49"/>
    <mergeCell ref="AU48:AX48"/>
    <mergeCell ref="BI48:BL48"/>
    <mergeCell ref="BM48:BO49"/>
    <mergeCell ref="BI49:BJ49"/>
    <mergeCell ref="BK49:BL49"/>
    <mergeCell ref="BP48:BS48"/>
    <mergeCell ref="AY48:BA49"/>
    <mergeCell ref="Z49:AA49"/>
    <mergeCell ref="AB49:AC49"/>
    <mergeCell ref="AG49:AH49"/>
    <mergeCell ref="AI49:AJ49"/>
    <mergeCell ref="AN49:AO49"/>
    <mergeCell ref="AP49:AQ49"/>
    <mergeCell ref="AU49:AV49"/>
    <mergeCell ref="AW49:AX49"/>
    <mergeCell ref="A47:A50"/>
    <mergeCell ref="B47:B50"/>
    <mergeCell ref="C47:C50"/>
    <mergeCell ref="D47:D50"/>
    <mergeCell ref="E48:H48"/>
    <mergeCell ref="I48:K49"/>
    <mergeCell ref="L48:O48"/>
    <mergeCell ref="P48:R49"/>
    <mergeCell ref="S48:V48"/>
    <mergeCell ref="E49:F49"/>
    <mergeCell ref="G49:H49"/>
    <mergeCell ref="L49:M49"/>
    <mergeCell ref="N49:O49"/>
    <mergeCell ref="S49:T49"/>
    <mergeCell ref="U49:V49"/>
    <mergeCell ref="CK5:CK6"/>
    <mergeCell ref="CL5:CL6"/>
    <mergeCell ref="CP5:CP6"/>
    <mergeCell ref="CQ5:CQ6"/>
    <mergeCell ref="AU4:AX4"/>
    <mergeCell ref="CO4:CQ4"/>
    <mergeCell ref="BB4:BE4"/>
    <mergeCell ref="BF4:BH5"/>
    <mergeCell ref="BI4:BL4"/>
    <mergeCell ref="BM4:BO5"/>
    <mergeCell ref="BP4:BS4"/>
    <mergeCell ref="BT4:BV5"/>
    <mergeCell ref="BB5:BC5"/>
    <mergeCell ref="BD5:BE5"/>
    <mergeCell ref="BI5:BJ5"/>
    <mergeCell ref="BK5:BL5"/>
    <mergeCell ref="BP5:BQ5"/>
    <mergeCell ref="BR5:BS5"/>
    <mergeCell ref="CF4:CH4"/>
    <mergeCell ref="CL4:CN4"/>
    <mergeCell ref="CI5:CI6"/>
    <mergeCell ref="CM5:CM6"/>
    <mergeCell ref="CN5:CN6"/>
    <mergeCell ref="CD5:CD6"/>
    <mergeCell ref="A3:A6"/>
    <mergeCell ref="B3:B6"/>
    <mergeCell ref="C3:C6"/>
    <mergeCell ref="D3:D6"/>
    <mergeCell ref="E4:H4"/>
    <mergeCell ref="U5:V5"/>
    <mergeCell ref="W4:Y5"/>
    <mergeCell ref="S5:T5"/>
    <mergeCell ref="L4:O4"/>
    <mergeCell ref="P4:R5"/>
    <mergeCell ref="L5:M5"/>
    <mergeCell ref="N5:O5"/>
    <mergeCell ref="E5:F5"/>
    <mergeCell ref="G5:H5"/>
    <mergeCell ref="I4:K5"/>
    <mergeCell ref="S4:V4"/>
    <mergeCell ref="CI4:CK4"/>
    <mergeCell ref="CF3:CQ3"/>
    <mergeCell ref="CJ5:CJ6"/>
    <mergeCell ref="AG4:AJ4"/>
    <mergeCell ref="Z5:AA5"/>
    <mergeCell ref="AP5:AQ5"/>
    <mergeCell ref="E3:BV3"/>
    <mergeCell ref="AK4:AM5"/>
    <mergeCell ref="AN4:AQ4"/>
    <mergeCell ref="AR4:AT5"/>
    <mergeCell ref="AU5:AV5"/>
    <mergeCell ref="AW5:AX5"/>
    <mergeCell ref="AY4:BA5"/>
    <mergeCell ref="BW3:BY4"/>
    <mergeCell ref="BZ3:CB4"/>
    <mergeCell ref="CC3:CE4"/>
    <mergeCell ref="BW5:BW6"/>
    <mergeCell ref="BX5:BX6"/>
    <mergeCell ref="BY5:BY6"/>
    <mergeCell ref="BZ5:BZ6"/>
    <mergeCell ref="CA5:CA6"/>
    <mergeCell ref="CB5:CB6"/>
    <mergeCell ref="CC5:CC6"/>
    <mergeCell ref="CO5:CO6"/>
  </mergeCells>
  <conditionalFormatting sqref="CE7:CE44">
    <cfRule type="cellIs" dxfId="3" priority="61" operator="lessThan">
      <formula>75%</formula>
    </cfRule>
  </conditionalFormatting>
  <conditionalFormatting sqref="CE45">
    <cfRule type="cellIs" dxfId="2" priority="2346" operator="lessThan">
      <formula>75%</formula>
    </cfRule>
  </conditionalFormatting>
  <conditionalFormatting sqref="CE51:CE88">
    <cfRule type="cellIs" dxfId="1" priority="1" operator="lessThan">
      <formula>75%</formula>
    </cfRule>
  </conditionalFormatting>
  <conditionalFormatting sqref="CE89">
    <cfRule type="cellIs" dxfId="0" priority="4833" operator="lessThan">
      <formula>75%</formula>
    </cfRule>
  </conditionalFormatting>
  <pageMargins left="0.17" right="0.17" top="0.2" bottom="0.21" header="0.3" footer="0.17"/>
  <pageSetup paperSize="9" scale="3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STREAM WISE</vt:lpstr>
      <vt:lpstr>Format-Blr</vt:lpstr>
      <vt:lpstr>'STREAM WISE'!Print_Area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bhargav.r</dc:creator>
  <cp:lastModifiedBy>M Lakshmi</cp:lastModifiedBy>
  <cp:lastPrinted>2026-03-05T09:14:53Z</cp:lastPrinted>
  <dcterms:created xsi:type="dcterms:W3CDTF">2017-06-29T04:12:28Z</dcterms:created>
  <dcterms:modified xsi:type="dcterms:W3CDTF">2026-04-20T07:02:47Z</dcterms:modified>
</cp:coreProperties>
</file>